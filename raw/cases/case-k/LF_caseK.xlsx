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tomi\Dropbox\My Documents\学会\AIJ_屋外空気環境\2017ガイドブック改訂\ベンチマーク実験データ集_ガイドブック改定に伴う修正\"/>
    </mc:Choice>
  </mc:AlternateContent>
  <xr:revisionPtr revIDLastSave="0" documentId="13_ncr:1_{2435005F-72DD-4658-B342-C0079A4A6E83}" xr6:coauthVersionLast="45" xr6:coauthVersionMax="45" xr10:uidLastSave="{00000000-0000-0000-0000-000000000000}"/>
  <bookViews>
    <workbookView xWindow="915" yWindow="345" windowWidth="25905" windowHeight="15240" tabRatio="777" activeTab="2" xr2:uid="{00000000-000D-0000-FFFF-FFFF00000000}"/>
  </bookViews>
  <sheets>
    <sheet name="Inflow" sheetId="24" r:id="rId1"/>
    <sheet name="measurement points" sheetId="23" r:id="rId2"/>
    <sheet name="Measurement data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4" i="3" l="1"/>
  <c r="M4" i="3"/>
  <c r="AE4" i="3" s="1"/>
  <c r="T4" i="3"/>
  <c r="U4" i="3"/>
  <c r="W4" i="3"/>
  <c r="X4" i="3"/>
  <c r="Y4" i="3"/>
  <c r="Z4" i="3"/>
  <c r="AA4" i="3"/>
  <c r="AB4" i="3"/>
  <c r="AC4" i="3"/>
  <c r="AD4" i="3"/>
  <c r="M5" i="3"/>
  <c r="AE5" i="3" s="1"/>
  <c r="T5" i="3"/>
  <c r="U5" i="3"/>
  <c r="V5" i="3"/>
  <c r="W5" i="3"/>
  <c r="X5" i="3"/>
  <c r="Y5" i="3"/>
  <c r="Z5" i="3"/>
  <c r="AA5" i="3"/>
  <c r="AB5" i="3"/>
  <c r="AC5" i="3"/>
  <c r="AD5" i="3"/>
  <c r="M6" i="3"/>
  <c r="AE6" i="3"/>
  <c r="T6" i="3"/>
  <c r="U6" i="3"/>
  <c r="V6" i="3"/>
  <c r="W6" i="3"/>
  <c r="X6" i="3"/>
  <c r="Y6" i="3"/>
  <c r="Z6" i="3"/>
  <c r="AA6" i="3"/>
  <c r="AB6" i="3"/>
  <c r="AC6" i="3"/>
  <c r="AD6" i="3"/>
  <c r="M7" i="3"/>
  <c r="AE7" i="3" s="1"/>
  <c r="T7" i="3"/>
  <c r="U7" i="3"/>
  <c r="V7" i="3"/>
  <c r="W7" i="3"/>
  <c r="X7" i="3"/>
  <c r="Y7" i="3"/>
  <c r="Z7" i="3"/>
  <c r="AA7" i="3"/>
  <c r="AB7" i="3"/>
  <c r="AC7" i="3"/>
  <c r="AD7" i="3"/>
  <c r="M8" i="3"/>
  <c r="T8" i="3"/>
  <c r="U8" i="3"/>
  <c r="V8" i="3"/>
  <c r="W8" i="3"/>
  <c r="X8" i="3"/>
  <c r="Y8" i="3"/>
  <c r="Z8" i="3"/>
  <c r="AA8" i="3"/>
  <c r="AB8" i="3"/>
  <c r="AC8" i="3"/>
  <c r="AD8" i="3"/>
  <c r="AE8" i="3"/>
  <c r="M9" i="3"/>
  <c r="AE9" i="3" s="1"/>
  <c r="R9" i="3"/>
  <c r="T9" i="3"/>
  <c r="U9" i="3"/>
  <c r="V9" i="3"/>
  <c r="W9" i="3"/>
  <c r="X9" i="3"/>
  <c r="Y9" i="3"/>
  <c r="Z9" i="3"/>
  <c r="AA9" i="3"/>
  <c r="AB9" i="3"/>
  <c r="AC9" i="3"/>
  <c r="AD9" i="3"/>
  <c r="M10" i="3"/>
  <c r="AE10" i="3" s="1"/>
  <c r="R10" i="3"/>
  <c r="R11" i="3" s="1"/>
  <c r="T10" i="3"/>
  <c r="U10" i="3"/>
  <c r="V10" i="3"/>
  <c r="W10" i="3"/>
  <c r="X10" i="3"/>
  <c r="Y10" i="3"/>
  <c r="Z10" i="3"/>
  <c r="AA10" i="3"/>
  <c r="AB10" i="3"/>
  <c r="AC10" i="3"/>
  <c r="AD10" i="3"/>
  <c r="M11" i="3"/>
  <c r="AE11" i="3" s="1"/>
  <c r="T11" i="3"/>
  <c r="U11" i="3"/>
  <c r="V11" i="3"/>
  <c r="W11" i="3"/>
  <c r="X11" i="3"/>
  <c r="Y11" i="3"/>
  <c r="Z11" i="3"/>
  <c r="AA11" i="3"/>
  <c r="AB11" i="3"/>
  <c r="AC11" i="3"/>
  <c r="AD11" i="3"/>
  <c r="M12" i="3"/>
  <c r="AE12" i="3"/>
  <c r="T12" i="3"/>
  <c r="U12" i="3"/>
  <c r="V12" i="3"/>
  <c r="W12" i="3"/>
  <c r="X12" i="3"/>
  <c r="Y12" i="3"/>
  <c r="Z12" i="3"/>
  <c r="AA12" i="3"/>
  <c r="AB12" i="3"/>
  <c r="AC12" i="3"/>
  <c r="AD12" i="3"/>
  <c r="M13" i="3"/>
  <c r="AE13" i="3" s="1"/>
  <c r="T13" i="3"/>
  <c r="U13" i="3"/>
  <c r="V13" i="3"/>
  <c r="W13" i="3"/>
  <c r="X13" i="3"/>
  <c r="Y13" i="3"/>
  <c r="Z13" i="3"/>
  <c r="AA13" i="3"/>
  <c r="AB13" i="3"/>
  <c r="AC13" i="3"/>
  <c r="AD13" i="3"/>
  <c r="M14" i="3"/>
  <c r="AE14" i="3" s="1"/>
  <c r="T14" i="3"/>
  <c r="U14" i="3"/>
  <c r="V14" i="3"/>
  <c r="W14" i="3"/>
  <c r="X14" i="3"/>
  <c r="Y14" i="3"/>
  <c r="Z14" i="3"/>
  <c r="AA14" i="3"/>
  <c r="AB14" i="3"/>
  <c r="AC14" i="3"/>
  <c r="AD14" i="3"/>
  <c r="M15" i="3"/>
  <c r="T15" i="3"/>
  <c r="U15" i="3"/>
  <c r="V15" i="3"/>
  <c r="W15" i="3"/>
  <c r="X15" i="3"/>
  <c r="Y15" i="3"/>
  <c r="Z15" i="3"/>
  <c r="AA15" i="3"/>
  <c r="AB15" i="3"/>
  <c r="AC15" i="3"/>
  <c r="AD15" i="3"/>
  <c r="AE15" i="3"/>
  <c r="M16" i="3"/>
  <c r="AE16" i="3" s="1"/>
  <c r="T16" i="3"/>
  <c r="U16" i="3"/>
  <c r="V16" i="3"/>
  <c r="W16" i="3"/>
  <c r="X16" i="3"/>
  <c r="Y16" i="3"/>
  <c r="Z16" i="3"/>
  <c r="AA16" i="3"/>
  <c r="AB16" i="3"/>
  <c r="AC16" i="3"/>
  <c r="AD16" i="3"/>
  <c r="M17" i="3"/>
  <c r="AE17" i="3" s="1"/>
  <c r="T17" i="3"/>
  <c r="U17" i="3"/>
  <c r="V17" i="3"/>
  <c r="W17" i="3"/>
  <c r="X17" i="3"/>
  <c r="Y17" i="3"/>
  <c r="Z17" i="3"/>
  <c r="AA17" i="3"/>
  <c r="AB17" i="3"/>
  <c r="AC17" i="3"/>
  <c r="AD17" i="3"/>
  <c r="M18" i="3"/>
  <c r="T18" i="3"/>
  <c r="U18" i="3"/>
  <c r="V18" i="3"/>
  <c r="W18" i="3"/>
  <c r="X18" i="3"/>
  <c r="Y18" i="3"/>
  <c r="Z18" i="3"/>
  <c r="AA18" i="3"/>
  <c r="AB18" i="3"/>
  <c r="AC18" i="3"/>
  <c r="AD18" i="3"/>
  <c r="AE18" i="3"/>
  <c r="M19" i="3"/>
  <c r="AE19" i="3" s="1"/>
  <c r="T19" i="3"/>
  <c r="U19" i="3"/>
  <c r="V19" i="3"/>
  <c r="W19" i="3"/>
  <c r="X19" i="3"/>
  <c r="Y19" i="3"/>
  <c r="Z19" i="3"/>
  <c r="AA19" i="3"/>
  <c r="AB19" i="3"/>
  <c r="AC19" i="3"/>
  <c r="AD19" i="3"/>
  <c r="M20" i="3"/>
  <c r="AE20" i="3" s="1"/>
  <c r="T20" i="3"/>
  <c r="U20" i="3"/>
  <c r="V20" i="3"/>
  <c r="W20" i="3"/>
  <c r="X20" i="3"/>
  <c r="Y20" i="3"/>
  <c r="Z20" i="3"/>
  <c r="AA20" i="3"/>
  <c r="AB20" i="3"/>
  <c r="AC20" i="3"/>
  <c r="AD20" i="3"/>
  <c r="M21" i="3"/>
  <c r="AE21" i="3" s="1"/>
  <c r="T21" i="3"/>
  <c r="U21" i="3"/>
  <c r="V21" i="3"/>
  <c r="W21" i="3"/>
  <c r="X21" i="3"/>
  <c r="Y21" i="3"/>
  <c r="Z21" i="3"/>
  <c r="AA21" i="3"/>
  <c r="AB21" i="3"/>
  <c r="AC21" i="3"/>
  <c r="AD21" i="3"/>
  <c r="M22" i="3"/>
  <c r="AE22" i="3"/>
  <c r="T22" i="3"/>
  <c r="U22" i="3"/>
  <c r="V22" i="3"/>
  <c r="W22" i="3"/>
  <c r="X22" i="3"/>
  <c r="Y22" i="3"/>
  <c r="Z22" i="3"/>
  <c r="AA22" i="3"/>
  <c r="AB22" i="3"/>
  <c r="AC22" i="3"/>
  <c r="AD22" i="3"/>
  <c r="M23" i="3"/>
  <c r="T23" i="3"/>
  <c r="U23" i="3"/>
  <c r="V23" i="3"/>
  <c r="W23" i="3"/>
  <c r="X23" i="3"/>
  <c r="Y23" i="3"/>
  <c r="Z23" i="3"/>
  <c r="AA23" i="3"/>
  <c r="AB23" i="3"/>
  <c r="AC23" i="3"/>
  <c r="AD23" i="3"/>
  <c r="AE23" i="3"/>
  <c r="M24" i="3"/>
  <c r="AE24" i="3"/>
  <c r="T24" i="3"/>
  <c r="U24" i="3"/>
  <c r="V24" i="3"/>
  <c r="W24" i="3"/>
  <c r="X24" i="3"/>
  <c r="Y24" i="3"/>
  <c r="Z24" i="3"/>
  <c r="AA24" i="3"/>
  <c r="AB24" i="3"/>
  <c r="AC24" i="3"/>
  <c r="AD24" i="3"/>
  <c r="M25" i="3"/>
  <c r="AE25" i="3" s="1"/>
  <c r="T25" i="3"/>
  <c r="U25" i="3"/>
  <c r="V25" i="3"/>
  <c r="W25" i="3"/>
  <c r="X25" i="3"/>
  <c r="Y25" i="3"/>
  <c r="Z25" i="3"/>
  <c r="AA25" i="3"/>
  <c r="AB25" i="3"/>
  <c r="AC25" i="3"/>
  <c r="AD25" i="3"/>
  <c r="M26" i="3"/>
  <c r="T26" i="3"/>
  <c r="U26" i="3"/>
  <c r="V26" i="3"/>
  <c r="W26" i="3"/>
  <c r="X26" i="3"/>
  <c r="Y26" i="3"/>
  <c r="Z26" i="3"/>
  <c r="AA26" i="3"/>
  <c r="AB26" i="3"/>
  <c r="AC26" i="3"/>
  <c r="AD26" i="3"/>
  <c r="AE26" i="3"/>
  <c r="M27" i="3"/>
  <c r="AE27" i="3" s="1"/>
  <c r="T27" i="3"/>
  <c r="U27" i="3"/>
  <c r="V27" i="3"/>
  <c r="W27" i="3"/>
  <c r="X27" i="3"/>
  <c r="Y27" i="3"/>
  <c r="Z27" i="3"/>
  <c r="AA27" i="3"/>
  <c r="AB27" i="3"/>
  <c r="AC27" i="3"/>
  <c r="AD27" i="3"/>
  <c r="M28" i="3"/>
  <c r="AE28" i="3"/>
  <c r="T28" i="3"/>
  <c r="U28" i="3"/>
  <c r="V28" i="3"/>
  <c r="W28" i="3"/>
  <c r="X28" i="3"/>
  <c r="Y28" i="3"/>
  <c r="Z28" i="3"/>
  <c r="AA28" i="3"/>
  <c r="AB28" i="3"/>
  <c r="AC28" i="3"/>
  <c r="AD28" i="3"/>
  <c r="M29" i="3"/>
  <c r="AE29" i="3" s="1"/>
  <c r="T29" i="3"/>
  <c r="U29" i="3"/>
  <c r="V29" i="3"/>
  <c r="W29" i="3"/>
  <c r="X29" i="3"/>
  <c r="Y29" i="3"/>
  <c r="Z29" i="3"/>
  <c r="AA29" i="3"/>
  <c r="AB29" i="3"/>
  <c r="AC29" i="3"/>
  <c r="AD29" i="3"/>
  <c r="M30" i="3"/>
  <c r="AE30" i="3" s="1"/>
  <c r="T30" i="3"/>
  <c r="U30" i="3"/>
  <c r="V30" i="3"/>
  <c r="W30" i="3"/>
  <c r="X30" i="3"/>
  <c r="Y30" i="3"/>
  <c r="Z30" i="3"/>
  <c r="AA30" i="3"/>
  <c r="AB30" i="3"/>
  <c r="AC30" i="3"/>
  <c r="AD30" i="3"/>
  <c r="M31" i="3"/>
  <c r="AE31" i="3" s="1"/>
  <c r="T31" i="3"/>
  <c r="U31" i="3"/>
  <c r="V31" i="3"/>
  <c r="W31" i="3"/>
  <c r="X31" i="3"/>
  <c r="Y31" i="3"/>
  <c r="Z31" i="3"/>
  <c r="AA31" i="3"/>
  <c r="AB31" i="3"/>
  <c r="AC31" i="3"/>
  <c r="AD31" i="3"/>
  <c r="M32" i="3"/>
  <c r="T32" i="3"/>
  <c r="U32" i="3"/>
  <c r="V32" i="3"/>
  <c r="W32" i="3"/>
  <c r="X32" i="3"/>
  <c r="Y32" i="3"/>
  <c r="Z32" i="3"/>
  <c r="AA32" i="3"/>
  <c r="AB32" i="3"/>
  <c r="AC32" i="3"/>
  <c r="AD32" i="3"/>
  <c r="AE32" i="3"/>
  <c r="M33" i="3"/>
  <c r="AE33" i="3" s="1"/>
  <c r="T33" i="3"/>
  <c r="U33" i="3"/>
  <c r="V33" i="3"/>
  <c r="W33" i="3"/>
  <c r="X33" i="3"/>
  <c r="Y33" i="3"/>
  <c r="Z33" i="3"/>
  <c r="AA33" i="3"/>
  <c r="AB33" i="3"/>
  <c r="AC33" i="3"/>
  <c r="AD33" i="3"/>
  <c r="M34" i="3"/>
  <c r="AE34" i="3" s="1"/>
  <c r="T34" i="3"/>
  <c r="U34" i="3"/>
  <c r="V34" i="3"/>
  <c r="W34" i="3"/>
  <c r="X34" i="3"/>
  <c r="Y34" i="3"/>
  <c r="Z34" i="3"/>
  <c r="AA34" i="3"/>
  <c r="AB34" i="3"/>
  <c r="AC34" i="3"/>
  <c r="AD34" i="3"/>
  <c r="M35" i="3"/>
  <c r="AE35" i="3" s="1"/>
  <c r="T35" i="3"/>
  <c r="U35" i="3"/>
  <c r="V35" i="3"/>
  <c r="W35" i="3"/>
  <c r="X35" i="3"/>
  <c r="Y35" i="3"/>
  <c r="Z35" i="3"/>
  <c r="AA35" i="3"/>
  <c r="AB35" i="3"/>
  <c r="AC35" i="3"/>
  <c r="AD35" i="3"/>
  <c r="M36" i="3"/>
  <c r="AE36" i="3"/>
  <c r="T36" i="3"/>
  <c r="U36" i="3"/>
  <c r="V36" i="3"/>
  <c r="W36" i="3"/>
  <c r="X36" i="3"/>
  <c r="Y36" i="3"/>
  <c r="Z36" i="3"/>
  <c r="AA36" i="3"/>
  <c r="AB36" i="3"/>
  <c r="AC36" i="3"/>
  <c r="AD36" i="3"/>
  <c r="M37" i="3"/>
  <c r="T37" i="3"/>
  <c r="U37" i="3"/>
  <c r="V37" i="3"/>
  <c r="W37" i="3"/>
  <c r="X37" i="3"/>
  <c r="Y37" i="3"/>
  <c r="Z37" i="3"/>
  <c r="AA37" i="3"/>
  <c r="AB37" i="3"/>
  <c r="AC37" i="3"/>
  <c r="AD37" i="3"/>
  <c r="AE37" i="3"/>
  <c r="M38" i="3"/>
  <c r="AE38" i="3"/>
  <c r="T38" i="3"/>
  <c r="U38" i="3"/>
  <c r="V38" i="3"/>
  <c r="W38" i="3"/>
  <c r="X38" i="3"/>
  <c r="Y38" i="3"/>
  <c r="Z38" i="3"/>
  <c r="AA38" i="3"/>
  <c r="AB38" i="3"/>
  <c r="AC38" i="3"/>
  <c r="AD38" i="3"/>
  <c r="M39" i="3"/>
  <c r="AE39" i="3" s="1"/>
  <c r="T39" i="3"/>
  <c r="U39" i="3"/>
  <c r="V39" i="3"/>
  <c r="W39" i="3"/>
  <c r="X39" i="3"/>
  <c r="Y39" i="3"/>
  <c r="Z39" i="3"/>
  <c r="AA39" i="3"/>
  <c r="AB39" i="3"/>
  <c r="AC39" i="3"/>
  <c r="AD39" i="3"/>
  <c r="M40" i="3"/>
  <c r="T40" i="3"/>
  <c r="U40" i="3"/>
  <c r="V40" i="3"/>
  <c r="W40" i="3"/>
  <c r="X40" i="3"/>
  <c r="Y40" i="3"/>
  <c r="Z40" i="3"/>
  <c r="AA40" i="3"/>
  <c r="AB40" i="3"/>
  <c r="AC40" i="3"/>
  <c r="AD40" i="3"/>
  <c r="AE40" i="3"/>
  <c r="M41" i="3"/>
  <c r="AE41" i="3" s="1"/>
  <c r="T41" i="3"/>
  <c r="U41" i="3"/>
  <c r="V41" i="3"/>
  <c r="W41" i="3"/>
  <c r="X41" i="3"/>
  <c r="Y41" i="3"/>
  <c r="Z41" i="3"/>
  <c r="AA41" i="3"/>
  <c r="AB41" i="3"/>
  <c r="AC41" i="3"/>
  <c r="AD41" i="3"/>
  <c r="M42" i="3"/>
  <c r="AE42" i="3" s="1"/>
  <c r="T42" i="3"/>
  <c r="U42" i="3"/>
  <c r="V42" i="3"/>
  <c r="W42" i="3"/>
  <c r="X42" i="3"/>
  <c r="Y42" i="3"/>
  <c r="Z42" i="3"/>
  <c r="AA42" i="3"/>
  <c r="AB42" i="3"/>
  <c r="AC42" i="3"/>
  <c r="AD42" i="3"/>
  <c r="M43" i="3"/>
  <c r="AE43" i="3" s="1"/>
  <c r="T43" i="3"/>
  <c r="U43" i="3"/>
  <c r="V43" i="3"/>
  <c r="W43" i="3"/>
  <c r="X43" i="3"/>
  <c r="Y43" i="3"/>
  <c r="Z43" i="3"/>
  <c r="AA43" i="3"/>
  <c r="AB43" i="3"/>
  <c r="AC43" i="3"/>
  <c r="AD43" i="3"/>
  <c r="M44" i="3"/>
  <c r="AE44" i="3" s="1"/>
  <c r="T44" i="3"/>
  <c r="U44" i="3"/>
  <c r="V44" i="3"/>
  <c r="W44" i="3"/>
  <c r="X44" i="3"/>
  <c r="Y44" i="3"/>
  <c r="Z44" i="3"/>
  <c r="AA44" i="3"/>
  <c r="AB44" i="3"/>
  <c r="AC44" i="3"/>
  <c r="AD44" i="3"/>
  <c r="M45" i="3"/>
  <c r="AE45" i="3" s="1"/>
  <c r="T45" i="3"/>
  <c r="U45" i="3"/>
  <c r="V45" i="3"/>
  <c r="W45" i="3"/>
  <c r="X45" i="3"/>
  <c r="Y45" i="3"/>
  <c r="Z45" i="3"/>
  <c r="AA45" i="3"/>
  <c r="AB45" i="3"/>
  <c r="AC45" i="3"/>
  <c r="AD45" i="3"/>
  <c r="M46" i="3"/>
  <c r="AE46" i="3" s="1"/>
  <c r="T46" i="3"/>
  <c r="U46" i="3"/>
  <c r="V46" i="3"/>
  <c r="W46" i="3"/>
  <c r="X46" i="3"/>
  <c r="Y46" i="3"/>
  <c r="Z46" i="3"/>
  <c r="AA46" i="3"/>
  <c r="AB46" i="3"/>
  <c r="AC46" i="3"/>
  <c r="AD46" i="3"/>
  <c r="M47" i="3"/>
  <c r="AE47" i="3"/>
  <c r="T47" i="3"/>
  <c r="U47" i="3"/>
  <c r="V47" i="3"/>
  <c r="W47" i="3"/>
  <c r="X47" i="3"/>
  <c r="Y47" i="3"/>
  <c r="Z47" i="3"/>
  <c r="AA47" i="3"/>
  <c r="AB47" i="3"/>
  <c r="AC47" i="3"/>
  <c r="AD47" i="3"/>
  <c r="M48" i="3"/>
  <c r="T48" i="3"/>
  <c r="U48" i="3"/>
  <c r="V48" i="3"/>
  <c r="W48" i="3"/>
  <c r="X48" i="3"/>
  <c r="Y48" i="3"/>
  <c r="Z48" i="3"/>
  <c r="AA48" i="3"/>
  <c r="AB48" i="3"/>
  <c r="AC48" i="3"/>
  <c r="AD48" i="3"/>
  <c r="AE48" i="3"/>
  <c r="M49" i="3"/>
  <c r="AE49" i="3"/>
  <c r="T49" i="3"/>
  <c r="U49" i="3"/>
  <c r="V49" i="3"/>
  <c r="W49" i="3"/>
  <c r="X49" i="3"/>
  <c r="Y49" i="3"/>
  <c r="Z49" i="3"/>
  <c r="AA49" i="3"/>
  <c r="AB49" i="3"/>
  <c r="AC49" i="3"/>
  <c r="AD49" i="3"/>
  <c r="M50" i="3"/>
  <c r="AE50" i="3" s="1"/>
  <c r="T50" i="3"/>
  <c r="U50" i="3"/>
  <c r="V50" i="3"/>
  <c r="W50" i="3"/>
  <c r="X50" i="3"/>
  <c r="Y50" i="3"/>
  <c r="Z50" i="3"/>
  <c r="AA50" i="3"/>
  <c r="AB50" i="3"/>
  <c r="AC50" i="3"/>
  <c r="AD50" i="3"/>
  <c r="M51" i="3"/>
  <c r="AE51" i="3" s="1"/>
  <c r="T51" i="3"/>
  <c r="U51" i="3"/>
  <c r="V51" i="3"/>
  <c r="W51" i="3"/>
  <c r="X51" i="3"/>
  <c r="Y51" i="3"/>
  <c r="Z51" i="3"/>
  <c r="AA51" i="3"/>
  <c r="AB51" i="3"/>
  <c r="AC51" i="3"/>
  <c r="AD51" i="3"/>
  <c r="M52" i="3"/>
  <c r="AE52" i="3" s="1"/>
  <c r="T52" i="3"/>
  <c r="U52" i="3"/>
  <c r="V52" i="3"/>
  <c r="W52" i="3"/>
  <c r="X52" i="3"/>
  <c r="Y52" i="3"/>
  <c r="Z52" i="3"/>
  <c r="AA52" i="3"/>
  <c r="AB52" i="3"/>
  <c r="AC52" i="3"/>
  <c r="AD52" i="3"/>
  <c r="M53" i="3"/>
  <c r="AE53" i="3"/>
  <c r="T53" i="3"/>
  <c r="U53" i="3"/>
  <c r="V53" i="3"/>
  <c r="W53" i="3"/>
  <c r="X53" i="3"/>
  <c r="Y53" i="3"/>
  <c r="Z53" i="3"/>
  <c r="AA53" i="3"/>
  <c r="AB53" i="3"/>
  <c r="AC53" i="3"/>
  <c r="AD53" i="3"/>
  <c r="M54" i="3"/>
  <c r="AE54" i="3" s="1"/>
  <c r="T54" i="3"/>
  <c r="U54" i="3"/>
  <c r="V54" i="3"/>
  <c r="W54" i="3"/>
  <c r="X54" i="3"/>
  <c r="Y54" i="3"/>
  <c r="Z54" i="3"/>
  <c r="AA54" i="3"/>
  <c r="AB54" i="3"/>
  <c r="AC54" i="3"/>
  <c r="AD54" i="3"/>
  <c r="M55" i="3"/>
  <c r="AE55" i="3" s="1"/>
  <c r="T55" i="3"/>
  <c r="U55" i="3"/>
  <c r="V55" i="3"/>
  <c r="W55" i="3"/>
  <c r="X55" i="3"/>
  <c r="Y55" i="3"/>
  <c r="Z55" i="3"/>
  <c r="AA55" i="3"/>
  <c r="AB55" i="3"/>
  <c r="AC55" i="3"/>
  <c r="AD55" i="3"/>
  <c r="M56" i="3"/>
  <c r="AE56" i="3" s="1"/>
  <c r="T56" i="3"/>
  <c r="U56" i="3"/>
  <c r="V56" i="3"/>
  <c r="W56" i="3"/>
  <c r="X56" i="3"/>
  <c r="Y56" i="3"/>
  <c r="Z56" i="3"/>
  <c r="AA56" i="3"/>
  <c r="AB56" i="3"/>
  <c r="AC56" i="3"/>
  <c r="AD56" i="3"/>
  <c r="M57" i="3"/>
  <c r="AE57" i="3"/>
  <c r="T57" i="3"/>
  <c r="U57" i="3"/>
  <c r="V57" i="3"/>
  <c r="W57" i="3"/>
  <c r="X57" i="3"/>
  <c r="Y57" i="3"/>
  <c r="Z57" i="3"/>
  <c r="AA57" i="3"/>
  <c r="AB57" i="3"/>
  <c r="AC57" i="3"/>
  <c r="AD57" i="3"/>
  <c r="M58" i="3"/>
  <c r="AE58" i="3" s="1"/>
  <c r="T58" i="3"/>
  <c r="U58" i="3"/>
  <c r="V58" i="3"/>
  <c r="W58" i="3"/>
  <c r="X58" i="3"/>
  <c r="Y58" i="3"/>
  <c r="Z58" i="3"/>
  <c r="AA58" i="3"/>
  <c r="AB58" i="3"/>
  <c r="AC58" i="3"/>
  <c r="AD58" i="3"/>
  <c r="M59" i="3"/>
  <c r="AE59" i="3" s="1"/>
  <c r="T59" i="3"/>
  <c r="U59" i="3"/>
  <c r="V59" i="3"/>
  <c r="W59" i="3"/>
  <c r="X59" i="3"/>
  <c r="Y59" i="3"/>
  <c r="Z59" i="3"/>
  <c r="AA59" i="3"/>
  <c r="AB59" i="3"/>
  <c r="AC59" i="3"/>
  <c r="AD59" i="3"/>
  <c r="M60" i="3"/>
  <c r="AE60" i="3" s="1"/>
  <c r="T60" i="3"/>
  <c r="U60" i="3"/>
  <c r="V60" i="3"/>
  <c r="W60" i="3"/>
  <c r="X60" i="3"/>
  <c r="Y60" i="3"/>
  <c r="Z60" i="3"/>
  <c r="AA60" i="3"/>
  <c r="AB60" i="3"/>
  <c r="AC60" i="3"/>
  <c r="AD60" i="3"/>
  <c r="M61" i="3"/>
  <c r="T61" i="3"/>
  <c r="U61" i="3"/>
  <c r="V61" i="3"/>
  <c r="W61" i="3"/>
  <c r="X61" i="3"/>
  <c r="Y61" i="3"/>
  <c r="Z61" i="3"/>
  <c r="AA61" i="3"/>
  <c r="AB61" i="3"/>
  <c r="AC61" i="3"/>
  <c r="AD61" i="3"/>
  <c r="AE61" i="3"/>
  <c r="M62" i="3"/>
  <c r="AE62" i="3" s="1"/>
  <c r="T62" i="3"/>
  <c r="U62" i="3"/>
  <c r="V62" i="3"/>
  <c r="W62" i="3"/>
  <c r="X62" i="3"/>
  <c r="Y62" i="3"/>
  <c r="Z62" i="3"/>
  <c r="AA62" i="3"/>
  <c r="AB62" i="3"/>
  <c r="AC62" i="3"/>
  <c r="AD62" i="3"/>
  <c r="M63" i="3"/>
  <c r="AE63" i="3" s="1"/>
  <c r="T63" i="3"/>
  <c r="U63" i="3"/>
  <c r="V63" i="3"/>
  <c r="W63" i="3"/>
  <c r="X63" i="3"/>
  <c r="Y63" i="3"/>
  <c r="Z63" i="3"/>
  <c r="AA63" i="3"/>
  <c r="AB63" i="3"/>
  <c r="AC63" i="3"/>
  <c r="AD63" i="3"/>
  <c r="M64" i="3"/>
  <c r="AE64" i="3" s="1"/>
  <c r="T64" i="3"/>
  <c r="U64" i="3"/>
  <c r="V64" i="3"/>
  <c r="W64" i="3"/>
  <c r="X64" i="3"/>
  <c r="Y64" i="3"/>
  <c r="Z64" i="3"/>
  <c r="AA64" i="3"/>
  <c r="AB64" i="3"/>
  <c r="AC64" i="3"/>
  <c r="AD64" i="3"/>
  <c r="M65" i="3"/>
  <c r="AE65" i="3" s="1"/>
  <c r="T65" i="3"/>
  <c r="U65" i="3"/>
  <c r="V65" i="3"/>
  <c r="W65" i="3"/>
  <c r="X65" i="3"/>
  <c r="Y65" i="3"/>
  <c r="Z65" i="3"/>
  <c r="AA65" i="3"/>
  <c r="AB65" i="3"/>
  <c r="AC65" i="3"/>
  <c r="AD65" i="3"/>
  <c r="M66" i="3"/>
  <c r="AE66" i="3"/>
  <c r="T66" i="3"/>
  <c r="U66" i="3"/>
  <c r="V66" i="3"/>
  <c r="W66" i="3"/>
  <c r="X66" i="3"/>
  <c r="Y66" i="3"/>
  <c r="Z66" i="3"/>
  <c r="AA66" i="3"/>
  <c r="AB66" i="3"/>
  <c r="AC66" i="3"/>
  <c r="AD66" i="3"/>
  <c r="M67" i="3"/>
  <c r="AE67" i="3" s="1"/>
  <c r="T67" i="3"/>
  <c r="U67" i="3"/>
  <c r="V67" i="3"/>
  <c r="W67" i="3"/>
  <c r="X67" i="3"/>
  <c r="Y67" i="3"/>
  <c r="Z67" i="3"/>
  <c r="AA67" i="3"/>
  <c r="AB67" i="3"/>
  <c r="AC67" i="3"/>
  <c r="AD67" i="3"/>
  <c r="M68" i="3"/>
  <c r="AE68" i="3" s="1"/>
  <c r="T68" i="3"/>
  <c r="U68" i="3"/>
  <c r="V68" i="3"/>
  <c r="W68" i="3"/>
  <c r="X68" i="3"/>
  <c r="Y68" i="3"/>
  <c r="Z68" i="3"/>
  <c r="AA68" i="3"/>
  <c r="AB68" i="3"/>
  <c r="AC68" i="3"/>
  <c r="AD68" i="3"/>
  <c r="M69" i="3"/>
  <c r="T69" i="3"/>
  <c r="U69" i="3"/>
  <c r="V69" i="3"/>
  <c r="W69" i="3"/>
  <c r="X69" i="3"/>
  <c r="Y69" i="3"/>
  <c r="Z69" i="3"/>
  <c r="AA69" i="3"/>
  <c r="AB69" i="3"/>
  <c r="AC69" i="3"/>
  <c r="AD69" i="3"/>
  <c r="AE69" i="3"/>
  <c r="M70" i="3"/>
  <c r="AE70" i="3" s="1"/>
  <c r="T70" i="3"/>
  <c r="U70" i="3"/>
  <c r="V70" i="3"/>
  <c r="W70" i="3"/>
  <c r="X70" i="3"/>
  <c r="Y70" i="3"/>
  <c r="Z70" i="3"/>
  <c r="AA70" i="3"/>
  <c r="AB70" i="3"/>
  <c r="AC70" i="3"/>
  <c r="AD70" i="3"/>
  <c r="M71" i="3"/>
  <c r="AE71" i="3" s="1"/>
  <c r="T71" i="3"/>
  <c r="U71" i="3"/>
  <c r="V71" i="3"/>
  <c r="W71" i="3"/>
  <c r="X71" i="3"/>
  <c r="Y71" i="3"/>
  <c r="Z71" i="3"/>
  <c r="AA71" i="3"/>
  <c r="AB71" i="3"/>
  <c r="AC71" i="3"/>
  <c r="AD71" i="3"/>
  <c r="M72" i="3"/>
  <c r="T72" i="3"/>
  <c r="U72" i="3"/>
  <c r="V72" i="3"/>
  <c r="W72" i="3"/>
  <c r="X72" i="3"/>
  <c r="Y72" i="3"/>
  <c r="Z72" i="3"/>
  <c r="AA72" i="3"/>
  <c r="AB72" i="3"/>
  <c r="AC72" i="3"/>
  <c r="AD72" i="3"/>
  <c r="AE72" i="3"/>
  <c r="M73" i="3"/>
  <c r="AE73" i="3" s="1"/>
  <c r="T73" i="3"/>
  <c r="U73" i="3"/>
  <c r="V73" i="3"/>
  <c r="W73" i="3"/>
  <c r="X73" i="3"/>
  <c r="Y73" i="3"/>
  <c r="Z73" i="3"/>
  <c r="AA73" i="3"/>
  <c r="AB73" i="3"/>
  <c r="AC73" i="3"/>
  <c r="AD73" i="3"/>
  <c r="M74" i="3"/>
  <c r="AE74" i="3" s="1"/>
  <c r="T74" i="3"/>
  <c r="U74" i="3"/>
  <c r="V74" i="3"/>
  <c r="W74" i="3"/>
  <c r="X74" i="3"/>
  <c r="Y74" i="3"/>
  <c r="Z74" i="3"/>
  <c r="AA74" i="3"/>
  <c r="AB74" i="3"/>
  <c r="AC74" i="3"/>
  <c r="AD74" i="3"/>
  <c r="M75" i="3"/>
  <c r="AE75" i="3" s="1"/>
  <c r="T75" i="3"/>
  <c r="U75" i="3"/>
  <c r="V75" i="3"/>
  <c r="W75" i="3"/>
  <c r="X75" i="3"/>
  <c r="Y75" i="3"/>
  <c r="Z75" i="3"/>
  <c r="AA75" i="3"/>
  <c r="AB75" i="3"/>
  <c r="AC75" i="3"/>
  <c r="AD75" i="3"/>
  <c r="M76" i="3"/>
  <c r="AE76" i="3"/>
  <c r="T76" i="3"/>
  <c r="U76" i="3"/>
  <c r="V76" i="3"/>
  <c r="W76" i="3"/>
  <c r="X76" i="3"/>
  <c r="Y76" i="3"/>
  <c r="Z76" i="3"/>
  <c r="AA76" i="3"/>
  <c r="AB76" i="3"/>
  <c r="AC76" i="3"/>
  <c r="AD76" i="3"/>
  <c r="M77" i="3"/>
  <c r="AE77" i="3" s="1"/>
  <c r="T77" i="3"/>
  <c r="U77" i="3"/>
  <c r="V77" i="3"/>
  <c r="W77" i="3"/>
  <c r="X77" i="3"/>
  <c r="Y77" i="3"/>
  <c r="Z77" i="3"/>
  <c r="AA77" i="3"/>
  <c r="AB77" i="3"/>
  <c r="AC77" i="3"/>
  <c r="AD77" i="3"/>
  <c r="M78" i="3"/>
  <c r="AE78" i="3" s="1"/>
  <c r="T78" i="3"/>
  <c r="U78" i="3"/>
  <c r="V78" i="3"/>
  <c r="W78" i="3"/>
  <c r="X78" i="3"/>
  <c r="Y78" i="3"/>
  <c r="Z78" i="3"/>
  <c r="AA78" i="3"/>
  <c r="AB78" i="3"/>
  <c r="AC78" i="3"/>
  <c r="AD78" i="3"/>
  <c r="M79" i="3"/>
  <c r="AE79" i="3" s="1"/>
  <c r="T79" i="3"/>
  <c r="U79" i="3"/>
  <c r="V79" i="3"/>
  <c r="W79" i="3"/>
  <c r="X79" i="3"/>
  <c r="Y79" i="3"/>
  <c r="Z79" i="3"/>
  <c r="AA79" i="3"/>
  <c r="AB79" i="3"/>
  <c r="AC79" i="3"/>
  <c r="AD79" i="3"/>
  <c r="M80" i="3"/>
  <c r="T80" i="3"/>
  <c r="U80" i="3"/>
  <c r="V80" i="3"/>
  <c r="W80" i="3"/>
  <c r="X80" i="3"/>
  <c r="Y80" i="3"/>
  <c r="Z80" i="3"/>
  <c r="AA80" i="3"/>
  <c r="AB80" i="3"/>
  <c r="AC80" i="3"/>
  <c r="AD80" i="3"/>
  <c r="AE80" i="3"/>
  <c r="M81" i="3"/>
  <c r="AE81" i="3" s="1"/>
  <c r="T81" i="3"/>
  <c r="U81" i="3"/>
  <c r="V81" i="3"/>
  <c r="W81" i="3"/>
  <c r="X81" i="3"/>
  <c r="Y81" i="3"/>
  <c r="Z81" i="3"/>
  <c r="AA81" i="3"/>
  <c r="AB81" i="3"/>
  <c r="AC81" i="3"/>
  <c r="AD81" i="3"/>
  <c r="M82" i="3"/>
  <c r="AE82" i="3" s="1"/>
  <c r="T82" i="3"/>
  <c r="U82" i="3"/>
  <c r="V82" i="3"/>
  <c r="W82" i="3"/>
  <c r="X82" i="3"/>
  <c r="Y82" i="3"/>
  <c r="Z82" i="3"/>
  <c r="AA82" i="3"/>
  <c r="AB82" i="3"/>
  <c r="AC82" i="3"/>
  <c r="AD82" i="3"/>
  <c r="M83" i="3"/>
  <c r="AE83" i="3" s="1"/>
  <c r="T83" i="3"/>
  <c r="U83" i="3"/>
  <c r="V83" i="3"/>
  <c r="W83" i="3"/>
  <c r="X83" i="3"/>
  <c r="Y83" i="3"/>
  <c r="Z83" i="3"/>
  <c r="AA83" i="3"/>
  <c r="AB83" i="3"/>
  <c r="AC83" i="3"/>
  <c r="AD83" i="3"/>
  <c r="M84" i="3"/>
  <c r="AE84" i="3"/>
  <c r="T84" i="3"/>
  <c r="U84" i="3"/>
  <c r="V84" i="3"/>
  <c r="W84" i="3"/>
  <c r="X84" i="3"/>
  <c r="Y84" i="3"/>
  <c r="Z84" i="3"/>
  <c r="AA84" i="3"/>
  <c r="AB84" i="3"/>
  <c r="AC84" i="3"/>
  <c r="AD84" i="3"/>
  <c r="M85" i="3"/>
  <c r="T85" i="3"/>
  <c r="U85" i="3"/>
  <c r="V85" i="3"/>
  <c r="W85" i="3"/>
  <c r="X85" i="3"/>
  <c r="Y85" i="3"/>
  <c r="Z85" i="3"/>
  <c r="AA85" i="3"/>
  <c r="AB85" i="3"/>
  <c r="AC85" i="3"/>
  <c r="AD85" i="3"/>
  <c r="AE85" i="3"/>
  <c r="M86" i="3"/>
  <c r="AE86" i="3"/>
  <c r="T86" i="3"/>
  <c r="U86" i="3"/>
  <c r="V86" i="3"/>
  <c r="W86" i="3"/>
  <c r="X86" i="3"/>
  <c r="Y86" i="3"/>
  <c r="Z86" i="3"/>
  <c r="AA86" i="3"/>
  <c r="AB86" i="3"/>
  <c r="AC86" i="3"/>
  <c r="AD86" i="3"/>
  <c r="M87" i="3"/>
  <c r="AE87" i="3" s="1"/>
  <c r="T87" i="3"/>
  <c r="U87" i="3"/>
  <c r="V87" i="3"/>
  <c r="W87" i="3"/>
  <c r="X87" i="3"/>
  <c r="Y87" i="3"/>
  <c r="Z87" i="3"/>
  <c r="AA87" i="3"/>
  <c r="AB87" i="3"/>
  <c r="AC87" i="3"/>
  <c r="AD87" i="3"/>
  <c r="M88" i="3"/>
  <c r="T88" i="3"/>
  <c r="U88" i="3"/>
  <c r="V88" i="3"/>
  <c r="W88" i="3"/>
  <c r="X88" i="3"/>
  <c r="Y88" i="3"/>
  <c r="Z88" i="3"/>
  <c r="AA88" i="3"/>
  <c r="AB88" i="3"/>
  <c r="AC88" i="3"/>
  <c r="AD88" i="3"/>
  <c r="AE88" i="3"/>
  <c r="M89" i="3"/>
  <c r="AE89" i="3"/>
  <c r="T89" i="3"/>
  <c r="U89" i="3"/>
  <c r="V89" i="3"/>
  <c r="W89" i="3"/>
  <c r="X89" i="3"/>
  <c r="Y89" i="3"/>
  <c r="Z89" i="3"/>
  <c r="AA89" i="3"/>
  <c r="AB89" i="3"/>
  <c r="AC89" i="3"/>
  <c r="AD89" i="3"/>
  <c r="M90" i="3"/>
  <c r="AE90" i="3" s="1"/>
  <c r="T90" i="3"/>
  <c r="U90" i="3"/>
  <c r="V90" i="3"/>
  <c r="W90" i="3"/>
  <c r="X90" i="3"/>
  <c r="Y90" i="3"/>
  <c r="Z90" i="3"/>
  <c r="AA90" i="3"/>
  <c r="AB90" i="3"/>
  <c r="AC90" i="3"/>
  <c r="AD90" i="3"/>
  <c r="M91" i="3"/>
  <c r="AE91" i="3" s="1"/>
  <c r="T91" i="3"/>
  <c r="U91" i="3"/>
  <c r="V91" i="3"/>
  <c r="W91" i="3"/>
  <c r="X91" i="3"/>
  <c r="Y91" i="3"/>
  <c r="Z91" i="3"/>
  <c r="AA91" i="3"/>
  <c r="AB91" i="3"/>
  <c r="AC91" i="3"/>
  <c r="AD91" i="3"/>
  <c r="M92" i="3"/>
  <c r="AE92" i="3"/>
  <c r="T92" i="3"/>
  <c r="U92" i="3"/>
  <c r="V92" i="3"/>
  <c r="W92" i="3"/>
  <c r="X92" i="3"/>
  <c r="Y92" i="3"/>
  <c r="Z92" i="3"/>
  <c r="AA92" i="3"/>
  <c r="AB92" i="3"/>
  <c r="AC92" i="3"/>
  <c r="AD92" i="3"/>
  <c r="M93" i="3"/>
  <c r="AE93" i="3" s="1"/>
  <c r="T93" i="3"/>
  <c r="U93" i="3"/>
  <c r="V93" i="3"/>
  <c r="W93" i="3"/>
  <c r="X93" i="3"/>
  <c r="Y93" i="3"/>
  <c r="Z93" i="3"/>
  <c r="AA93" i="3"/>
  <c r="AB93" i="3"/>
  <c r="AC93" i="3"/>
  <c r="AD93" i="3"/>
  <c r="M94" i="3"/>
  <c r="AE94" i="3"/>
  <c r="T94" i="3"/>
  <c r="U94" i="3"/>
  <c r="V94" i="3"/>
  <c r="W94" i="3"/>
  <c r="X94" i="3"/>
  <c r="Y94" i="3"/>
  <c r="Z94" i="3"/>
  <c r="AA94" i="3"/>
  <c r="AB94" i="3"/>
  <c r="AC94" i="3"/>
  <c r="AD94" i="3"/>
  <c r="M95" i="3"/>
  <c r="AE95" i="3" s="1"/>
  <c r="T95" i="3"/>
  <c r="U95" i="3"/>
  <c r="V95" i="3"/>
  <c r="W95" i="3"/>
  <c r="X95" i="3"/>
  <c r="Y95" i="3"/>
  <c r="Z95" i="3"/>
  <c r="AA95" i="3"/>
  <c r="AB95" i="3"/>
  <c r="AC95" i="3"/>
  <c r="AD95" i="3"/>
  <c r="M96" i="3"/>
  <c r="AE96" i="3" s="1"/>
  <c r="T96" i="3"/>
  <c r="U96" i="3"/>
  <c r="V96" i="3"/>
  <c r="W96" i="3"/>
  <c r="X96" i="3"/>
  <c r="Y96" i="3"/>
  <c r="Z96" i="3"/>
  <c r="AA96" i="3"/>
  <c r="AB96" i="3"/>
  <c r="AC96" i="3"/>
  <c r="AD96" i="3"/>
  <c r="M97" i="3"/>
  <c r="AE97" i="3"/>
  <c r="T97" i="3"/>
  <c r="U97" i="3"/>
  <c r="V97" i="3"/>
  <c r="W97" i="3"/>
  <c r="X97" i="3"/>
  <c r="Y97" i="3"/>
  <c r="Z97" i="3"/>
  <c r="AA97" i="3"/>
  <c r="AB97" i="3"/>
  <c r="AC97" i="3"/>
  <c r="AD97" i="3"/>
  <c r="M98" i="3"/>
  <c r="AE98" i="3" s="1"/>
  <c r="T98" i="3"/>
  <c r="U98" i="3"/>
  <c r="V98" i="3"/>
  <c r="W98" i="3"/>
  <c r="X98" i="3"/>
  <c r="Y98" i="3"/>
  <c r="Z98" i="3"/>
  <c r="AA98" i="3"/>
  <c r="AB98" i="3"/>
  <c r="AC98" i="3"/>
  <c r="AD98" i="3"/>
  <c r="M99" i="3"/>
  <c r="AE99" i="3" s="1"/>
  <c r="T99" i="3"/>
  <c r="U99" i="3"/>
  <c r="V99" i="3"/>
  <c r="W99" i="3"/>
  <c r="X99" i="3"/>
  <c r="Y99" i="3"/>
  <c r="Z99" i="3"/>
  <c r="AA99" i="3"/>
  <c r="AB99" i="3"/>
  <c r="AC99" i="3"/>
  <c r="AD99" i="3"/>
  <c r="M100" i="3"/>
  <c r="AE100" i="3"/>
  <c r="T100" i="3"/>
  <c r="U100" i="3"/>
  <c r="V100" i="3"/>
  <c r="W100" i="3"/>
  <c r="X100" i="3"/>
  <c r="Y100" i="3"/>
  <c r="Z100" i="3"/>
  <c r="AA100" i="3"/>
  <c r="AB100" i="3"/>
  <c r="AC100" i="3"/>
  <c r="AD100" i="3"/>
  <c r="M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M102" i="3"/>
  <c r="AE102" i="3"/>
  <c r="T102" i="3"/>
  <c r="U102" i="3"/>
  <c r="V102" i="3"/>
  <c r="W102" i="3"/>
  <c r="X102" i="3"/>
  <c r="Y102" i="3"/>
  <c r="Z102" i="3"/>
  <c r="AA102" i="3"/>
  <c r="AB102" i="3"/>
  <c r="AC102" i="3"/>
  <c r="AD102" i="3"/>
  <c r="M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M104" i="3"/>
  <c r="AE104" i="3"/>
  <c r="T104" i="3"/>
  <c r="U104" i="3"/>
  <c r="V104" i="3"/>
  <c r="W104" i="3"/>
  <c r="X104" i="3"/>
  <c r="Y104" i="3"/>
  <c r="Z104" i="3"/>
  <c r="AA104" i="3"/>
  <c r="AB104" i="3"/>
  <c r="AC104" i="3"/>
  <c r="AD104" i="3"/>
  <c r="M105" i="3"/>
  <c r="AE105" i="3" s="1"/>
  <c r="T105" i="3"/>
  <c r="U105" i="3"/>
  <c r="V105" i="3"/>
  <c r="W105" i="3"/>
  <c r="X105" i="3"/>
  <c r="Y105" i="3"/>
  <c r="Z105" i="3"/>
  <c r="AA105" i="3"/>
  <c r="AB105" i="3"/>
  <c r="AC105" i="3"/>
  <c r="AD105" i="3"/>
  <c r="M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M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M108" i="3"/>
  <c r="AE108" i="3"/>
  <c r="T108" i="3"/>
  <c r="U108" i="3"/>
  <c r="V108" i="3"/>
  <c r="W108" i="3"/>
  <c r="X108" i="3"/>
  <c r="Y108" i="3"/>
  <c r="Z108" i="3"/>
  <c r="AA108" i="3"/>
  <c r="AB108" i="3"/>
  <c r="AC108" i="3"/>
  <c r="AD108" i="3"/>
  <c r="M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M110" i="3"/>
  <c r="AE110" i="3"/>
  <c r="T110" i="3"/>
  <c r="U110" i="3"/>
  <c r="V110" i="3"/>
  <c r="W110" i="3"/>
  <c r="X110" i="3"/>
  <c r="Y110" i="3"/>
  <c r="Z110" i="3"/>
  <c r="AA110" i="3"/>
  <c r="AB110" i="3"/>
  <c r="AC110" i="3"/>
  <c r="AD110" i="3"/>
  <c r="M111" i="3"/>
  <c r="AE111" i="3" s="1"/>
  <c r="T111" i="3"/>
  <c r="U111" i="3"/>
  <c r="V111" i="3"/>
  <c r="W111" i="3"/>
  <c r="X111" i="3"/>
  <c r="Y111" i="3"/>
  <c r="Z111" i="3"/>
  <c r="AA111" i="3"/>
  <c r="AB111" i="3"/>
  <c r="AC111" i="3"/>
  <c r="AD111" i="3"/>
  <c r="M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M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M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M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M116" i="3"/>
  <c r="AE116" i="3"/>
  <c r="T116" i="3"/>
  <c r="U116" i="3"/>
  <c r="V116" i="3"/>
  <c r="W116" i="3"/>
  <c r="X116" i="3"/>
  <c r="Y116" i="3"/>
  <c r="Z116" i="3"/>
  <c r="AA116" i="3"/>
  <c r="AB116" i="3"/>
  <c r="AC116" i="3"/>
  <c r="AD116" i="3"/>
  <c r="M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M118" i="3"/>
  <c r="AE118" i="3" s="1"/>
  <c r="T118" i="3"/>
  <c r="U118" i="3"/>
  <c r="V118" i="3"/>
  <c r="W118" i="3"/>
  <c r="X118" i="3"/>
  <c r="Y118" i="3"/>
  <c r="Z118" i="3"/>
  <c r="AA118" i="3"/>
  <c r="AB118" i="3"/>
  <c r="AC118" i="3"/>
  <c r="AD118" i="3"/>
  <c r="M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M120" i="3"/>
  <c r="AE120" i="3" s="1"/>
  <c r="T120" i="3"/>
  <c r="U120" i="3"/>
  <c r="V120" i="3"/>
  <c r="W120" i="3"/>
  <c r="X120" i="3"/>
  <c r="Y120" i="3"/>
  <c r="Z120" i="3"/>
  <c r="AA120" i="3"/>
  <c r="AB120" i="3"/>
  <c r="AC120" i="3"/>
  <c r="AD120" i="3"/>
  <c r="M121" i="3"/>
  <c r="AE121" i="3"/>
  <c r="T121" i="3"/>
  <c r="U121" i="3"/>
  <c r="V121" i="3"/>
  <c r="W121" i="3"/>
  <c r="X121" i="3"/>
  <c r="Y121" i="3"/>
  <c r="Z121" i="3"/>
  <c r="AA121" i="3"/>
  <c r="AB121" i="3"/>
  <c r="AC121" i="3"/>
  <c r="AD121" i="3"/>
  <c r="M122" i="3"/>
  <c r="AE122" i="3" s="1"/>
  <c r="T122" i="3"/>
  <c r="U122" i="3"/>
  <c r="V122" i="3"/>
  <c r="W122" i="3"/>
  <c r="X122" i="3"/>
  <c r="Y122" i="3"/>
  <c r="Z122" i="3"/>
  <c r="AA122" i="3"/>
  <c r="AB122" i="3"/>
  <c r="AC122" i="3"/>
  <c r="AD122" i="3"/>
  <c r="M123" i="3"/>
  <c r="AE123" i="3"/>
  <c r="T123" i="3"/>
  <c r="U123" i="3"/>
  <c r="V123" i="3"/>
  <c r="W123" i="3"/>
  <c r="X123" i="3"/>
  <c r="Y123" i="3"/>
  <c r="Z123" i="3"/>
  <c r="AA123" i="3"/>
  <c r="AB123" i="3"/>
  <c r="AC123" i="3"/>
  <c r="AD123" i="3"/>
  <c r="M124" i="3"/>
  <c r="AE124" i="3" s="1"/>
  <c r="T124" i="3"/>
  <c r="U124" i="3"/>
  <c r="V124" i="3"/>
  <c r="W124" i="3"/>
  <c r="X124" i="3"/>
  <c r="Y124" i="3"/>
  <c r="Z124" i="3"/>
  <c r="AA124" i="3"/>
  <c r="AB124" i="3"/>
  <c r="AC124" i="3"/>
  <c r="AD124" i="3"/>
  <c r="M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M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M127" i="3"/>
  <c r="AE127" i="3"/>
  <c r="T127" i="3"/>
  <c r="U127" i="3"/>
  <c r="V127" i="3"/>
  <c r="W127" i="3"/>
  <c r="X127" i="3"/>
  <c r="Y127" i="3"/>
  <c r="Z127" i="3"/>
  <c r="AA127" i="3"/>
  <c r="AB127" i="3"/>
  <c r="AC127" i="3"/>
  <c r="AD127" i="3"/>
  <c r="M128" i="3"/>
  <c r="AE128" i="3" s="1"/>
  <c r="T128" i="3"/>
  <c r="U128" i="3"/>
  <c r="V128" i="3"/>
  <c r="W128" i="3"/>
  <c r="X128" i="3"/>
  <c r="Y128" i="3"/>
  <c r="Z128" i="3"/>
  <c r="AA128" i="3"/>
  <c r="AB128" i="3"/>
  <c r="AC128" i="3"/>
  <c r="AD128" i="3"/>
  <c r="M129" i="3"/>
  <c r="AE129" i="3" s="1"/>
  <c r="T129" i="3"/>
  <c r="U129" i="3"/>
  <c r="V129" i="3"/>
  <c r="W129" i="3"/>
  <c r="X129" i="3"/>
  <c r="Y129" i="3"/>
  <c r="Z129" i="3"/>
  <c r="AA129" i="3"/>
  <c r="AB129" i="3"/>
  <c r="AC129" i="3"/>
  <c r="AD129" i="3"/>
  <c r="M130" i="3"/>
  <c r="AE130" i="3"/>
  <c r="T130" i="3"/>
  <c r="U130" i="3"/>
  <c r="V130" i="3"/>
  <c r="W130" i="3"/>
  <c r="X130" i="3"/>
  <c r="Y130" i="3"/>
  <c r="Z130" i="3"/>
  <c r="AA130" i="3"/>
  <c r="AB130" i="3"/>
  <c r="AC130" i="3"/>
  <c r="AD130" i="3"/>
  <c r="M131" i="3"/>
  <c r="AE131" i="3" s="1"/>
  <c r="T131" i="3"/>
  <c r="U131" i="3"/>
  <c r="V131" i="3"/>
  <c r="W131" i="3"/>
  <c r="X131" i="3"/>
  <c r="Y131" i="3"/>
  <c r="Z131" i="3"/>
  <c r="AA131" i="3"/>
  <c r="AB131" i="3"/>
  <c r="AC131" i="3"/>
  <c r="AD131" i="3"/>
  <c r="M132" i="3"/>
  <c r="AE132" i="3" s="1"/>
  <c r="T132" i="3"/>
  <c r="U132" i="3"/>
  <c r="V132" i="3"/>
  <c r="W132" i="3"/>
  <c r="X132" i="3"/>
  <c r="Y132" i="3"/>
  <c r="Z132" i="3"/>
  <c r="AA132" i="3"/>
  <c r="AB132" i="3"/>
  <c r="AC132" i="3"/>
  <c r="AD132" i="3"/>
  <c r="M133" i="3"/>
  <c r="AE133" i="3"/>
  <c r="T133" i="3"/>
  <c r="U133" i="3"/>
  <c r="V133" i="3"/>
  <c r="W133" i="3"/>
  <c r="X133" i="3"/>
  <c r="Y133" i="3"/>
  <c r="Z133" i="3"/>
  <c r="AA133" i="3"/>
  <c r="AB133" i="3"/>
  <c r="AC133" i="3"/>
  <c r="AD133" i="3"/>
  <c r="M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M135" i="3"/>
  <c r="AE135" i="3" s="1"/>
  <c r="T135" i="3"/>
  <c r="U135" i="3"/>
  <c r="V135" i="3"/>
  <c r="W135" i="3"/>
  <c r="X135" i="3"/>
  <c r="Y135" i="3"/>
  <c r="Z135" i="3"/>
  <c r="AA135" i="3"/>
  <c r="AB135" i="3"/>
  <c r="AC135" i="3"/>
  <c r="AD135" i="3"/>
  <c r="M136" i="3"/>
  <c r="AE136" i="3"/>
  <c r="T136" i="3"/>
  <c r="U136" i="3"/>
  <c r="V136" i="3"/>
  <c r="W136" i="3"/>
  <c r="X136" i="3"/>
  <c r="Y136" i="3"/>
  <c r="Z136" i="3"/>
  <c r="AA136" i="3"/>
  <c r="AB136" i="3"/>
  <c r="AC136" i="3"/>
  <c r="AD136" i="3"/>
  <c r="M137" i="3"/>
  <c r="AE137" i="3" s="1"/>
  <c r="T137" i="3"/>
  <c r="U137" i="3"/>
  <c r="V137" i="3"/>
  <c r="W137" i="3"/>
  <c r="X137" i="3"/>
  <c r="Y137" i="3"/>
  <c r="Z137" i="3"/>
  <c r="AA137" i="3"/>
  <c r="AB137" i="3"/>
  <c r="AC137" i="3"/>
  <c r="AD137" i="3"/>
  <c r="M138" i="3"/>
  <c r="AE138" i="3" s="1"/>
  <c r="T138" i="3"/>
  <c r="U138" i="3"/>
  <c r="V138" i="3"/>
  <c r="W138" i="3"/>
  <c r="X138" i="3"/>
  <c r="Y138" i="3"/>
  <c r="Z138" i="3"/>
  <c r="AA138" i="3"/>
  <c r="AB138" i="3"/>
  <c r="AC138" i="3"/>
  <c r="AD138" i="3"/>
  <c r="M139" i="3"/>
  <c r="AE139" i="3"/>
  <c r="T139" i="3"/>
  <c r="U139" i="3"/>
  <c r="V139" i="3"/>
  <c r="W139" i="3"/>
  <c r="X139" i="3"/>
  <c r="Y139" i="3"/>
  <c r="Z139" i="3"/>
  <c r="AA139" i="3"/>
  <c r="AB139" i="3"/>
  <c r="AC139" i="3"/>
  <c r="AD139" i="3"/>
  <c r="M140" i="3"/>
  <c r="AE140" i="3" s="1"/>
  <c r="T140" i="3"/>
  <c r="U140" i="3"/>
  <c r="V140" i="3"/>
  <c r="W140" i="3"/>
  <c r="X140" i="3"/>
  <c r="Y140" i="3"/>
  <c r="Z140" i="3"/>
  <c r="AA140" i="3"/>
  <c r="AB140" i="3"/>
  <c r="AC140" i="3"/>
  <c r="AD140" i="3"/>
  <c r="M141" i="3"/>
  <c r="AE141" i="3"/>
  <c r="T141" i="3"/>
  <c r="U141" i="3"/>
  <c r="V141" i="3"/>
  <c r="W141" i="3"/>
  <c r="X141" i="3"/>
  <c r="Y141" i="3"/>
  <c r="Z141" i="3"/>
  <c r="AA141" i="3"/>
  <c r="AB141" i="3"/>
  <c r="AC141" i="3"/>
  <c r="AD141" i="3"/>
  <c r="M142" i="3"/>
  <c r="AE142" i="3" s="1"/>
  <c r="T142" i="3"/>
  <c r="U142" i="3"/>
  <c r="V142" i="3"/>
  <c r="W142" i="3"/>
  <c r="X142" i="3"/>
  <c r="Y142" i="3"/>
  <c r="Z142" i="3"/>
  <c r="AA142" i="3"/>
  <c r="AB142" i="3"/>
  <c r="AC142" i="3"/>
  <c r="AD142" i="3"/>
  <c r="M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M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M145" i="3"/>
  <c r="AE145" i="3" s="1"/>
  <c r="T145" i="3"/>
  <c r="U145" i="3"/>
  <c r="V145" i="3"/>
  <c r="W145" i="3"/>
  <c r="X145" i="3"/>
  <c r="Y145" i="3"/>
  <c r="Z145" i="3"/>
  <c r="AA145" i="3"/>
  <c r="AB145" i="3"/>
  <c r="AC145" i="3"/>
  <c r="AD145" i="3"/>
  <c r="M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M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M148" i="3"/>
  <c r="AE148" i="3"/>
  <c r="T148" i="3"/>
  <c r="U148" i="3"/>
  <c r="V148" i="3"/>
  <c r="W148" i="3"/>
  <c r="X148" i="3"/>
  <c r="Y148" i="3"/>
  <c r="Z148" i="3"/>
  <c r="AA148" i="3"/>
  <c r="AB148" i="3"/>
  <c r="AC148" i="3"/>
  <c r="AD148" i="3"/>
  <c r="M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M150" i="3"/>
  <c r="AE150" i="3"/>
  <c r="T150" i="3"/>
  <c r="U150" i="3"/>
  <c r="V150" i="3"/>
  <c r="W150" i="3"/>
  <c r="X150" i="3"/>
  <c r="Y150" i="3"/>
  <c r="Z150" i="3"/>
  <c r="AA150" i="3"/>
  <c r="AB150" i="3"/>
  <c r="AC150" i="3"/>
  <c r="AD150" i="3"/>
  <c r="M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M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M153" i="3"/>
  <c r="AE153" i="3" s="1"/>
  <c r="T153" i="3"/>
  <c r="U153" i="3"/>
  <c r="V153" i="3"/>
  <c r="W153" i="3"/>
  <c r="X153" i="3"/>
  <c r="Y153" i="3"/>
  <c r="Z153" i="3"/>
  <c r="AA153" i="3"/>
  <c r="AB153" i="3"/>
  <c r="AC153" i="3"/>
  <c r="AD153" i="3"/>
  <c r="M154" i="3"/>
  <c r="AE154" i="3" s="1"/>
  <c r="T154" i="3"/>
  <c r="U154" i="3"/>
  <c r="V154" i="3"/>
  <c r="W154" i="3"/>
  <c r="X154" i="3"/>
  <c r="Y154" i="3"/>
  <c r="Z154" i="3"/>
  <c r="AA154" i="3"/>
  <c r="AB154" i="3"/>
  <c r="AC154" i="3"/>
  <c r="AD154" i="3"/>
  <c r="M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M156" i="3"/>
  <c r="AE156" i="3" s="1"/>
  <c r="T156" i="3"/>
  <c r="U156" i="3"/>
  <c r="V156" i="3"/>
  <c r="W156" i="3"/>
  <c r="X156" i="3"/>
  <c r="Y156" i="3"/>
  <c r="Z156" i="3"/>
  <c r="AA156" i="3"/>
  <c r="AB156" i="3"/>
  <c r="AC156" i="3"/>
  <c r="AD156" i="3"/>
  <c r="M157" i="3"/>
  <c r="AE157" i="3" s="1"/>
  <c r="T157" i="3"/>
  <c r="U157" i="3"/>
  <c r="V157" i="3"/>
  <c r="W157" i="3"/>
  <c r="X157" i="3"/>
  <c r="Y157" i="3"/>
  <c r="Z157" i="3"/>
  <c r="AA157" i="3"/>
  <c r="AB157" i="3"/>
  <c r="AC157" i="3"/>
  <c r="AD157" i="3"/>
  <c r="M158" i="3"/>
  <c r="AE158" i="3"/>
  <c r="T158" i="3"/>
  <c r="U158" i="3"/>
  <c r="V158" i="3"/>
  <c r="W158" i="3"/>
  <c r="X158" i="3"/>
  <c r="Y158" i="3"/>
  <c r="Z158" i="3"/>
  <c r="AA158" i="3"/>
  <c r="AB158" i="3"/>
  <c r="AC158" i="3"/>
  <c r="AD158" i="3"/>
  <c r="M159" i="3"/>
  <c r="AE159" i="3" s="1"/>
  <c r="T159" i="3"/>
  <c r="U159" i="3"/>
  <c r="V159" i="3"/>
  <c r="W159" i="3"/>
  <c r="X159" i="3"/>
  <c r="Y159" i="3"/>
  <c r="Z159" i="3"/>
  <c r="AA159" i="3"/>
  <c r="AB159" i="3"/>
  <c r="AC159" i="3"/>
  <c r="AD159" i="3"/>
  <c r="M160" i="3"/>
  <c r="AE160" i="3" s="1"/>
  <c r="T160" i="3"/>
  <c r="U160" i="3"/>
  <c r="V160" i="3"/>
  <c r="W160" i="3"/>
  <c r="X160" i="3"/>
  <c r="Y160" i="3"/>
  <c r="Z160" i="3"/>
  <c r="AA160" i="3"/>
  <c r="AB160" i="3"/>
  <c r="AC160" i="3"/>
  <c r="AD160" i="3"/>
  <c r="M161" i="3"/>
  <c r="AE161" i="3"/>
  <c r="T161" i="3"/>
  <c r="U161" i="3"/>
  <c r="V161" i="3"/>
  <c r="W161" i="3"/>
  <c r="X161" i="3"/>
  <c r="Y161" i="3"/>
  <c r="Z161" i="3"/>
  <c r="AA161" i="3"/>
  <c r="AB161" i="3"/>
  <c r="AC161" i="3"/>
  <c r="AD161" i="3"/>
  <c r="M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M163" i="3"/>
  <c r="AE163" i="3" s="1"/>
  <c r="T163" i="3"/>
  <c r="U163" i="3"/>
  <c r="V163" i="3"/>
  <c r="W163" i="3"/>
  <c r="X163" i="3"/>
  <c r="Y163" i="3"/>
  <c r="Z163" i="3"/>
  <c r="AA163" i="3"/>
  <c r="AB163" i="3"/>
  <c r="AC163" i="3"/>
  <c r="AD163" i="3"/>
  <c r="M164" i="3"/>
  <c r="AE164" i="3" s="1"/>
  <c r="T164" i="3"/>
  <c r="U164" i="3"/>
  <c r="V164" i="3"/>
  <c r="W164" i="3"/>
  <c r="X164" i="3"/>
  <c r="Y164" i="3"/>
  <c r="Z164" i="3"/>
  <c r="AA164" i="3"/>
  <c r="AB164" i="3"/>
  <c r="AC164" i="3"/>
  <c r="AD164" i="3"/>
  <c r="M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M166" i="3"/>
  <c r="AE166" i="3" s="1"/>
  <c r="T166" i="3"/>
  <c r="U166" i="3"/>
  <c r="V166" i="3"/>
  <c r="W166" i="3"/>
  <c r="X166" i="3"/>
  <c r="Y166" i="3"/>
  <c r="Z166" i="3"/>
  <c r="AA166" i="3"/>
  <c r="AB166" i="3"/>
  <c r="AC166" i="3"/>
  <c r="AD166" i="3"/>
  <c r="M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M168" i="3"/>
  <c r="AE168" i="3" s="1"/>
  <c r="T168" i="3"/>
  <c r="U168" i="3"/>
  <c r="V168" i="3"/>
  <c r="W168" i="3"/>
  <c r="X168" i="3"/>
  <c r="Y168" i="3"/>
  <c r="Z168" i="3"/>
  <c r="AA168" i="3"/>
  <c r="AB168" i="3"/>
  <c r="AC168" i="3"/>
  <c r="AD168" i="3"/>
  <c r="M169" i="3"/>
  <c r="AE169" i="3"/>
  <c r="T169" i="3"/>
  <c r="U169" i="3"/>
  <c r="V169" i="3"/>
  <c r="W169" i="3"/>
  <c r="X169" i="3"/>
  <c r="Y169" i="3"/>
  <c r="Z169" i="3"/>
  <c r="AA169" i="3"/>
  <c r="AB169" i="3"/>
  <c r="AC169" i="3"/>
  <c r="AD169" i="3"/>
  <c r="M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M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M172" i="3"/>
  <c r="AE172" i="3" s="1"/>
  <c r="T172" i="3"/>
  <c r="U172" i="3"/>
  <c r="V172" i="3"/>
  <c r="W172" i="3"/>
  <c r="X172" i="3"/>
  <c r="Y172" i="3"/>
  <c r="Z172" i="3"/>
  <c r="AA172" i="3"/>
  <c r="AB172" i="3"/>
  <c r="AC172" i="3"/>
  <c r="AD172" i="3"/>
  <c r="M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M174" i="3"/>
  <c r="AE174" i="3"/>
  <c r="T174" i="3"/>
  <c r="U174" i="3"/>
  <c r="V174" i="3"/>
  <c r="W174" i="3"/>
  <c r="X174" i="3"/>
  <c r="Y174" i="3"/>
  <c r="Z174" i="3"/>
  <c r="AA174" i="3"/>
  <c r="AB174" i="3"/>
  <c r="AC174" i="3"/>
  <c r="AD174" i="3"/>
  <c r="M175" i="3"/>
  <c r="AE175" i="3" s="1"/>
  <c r="T175" i="3"/>
  <c r="U175" i="3"/>
  <c r="V175" i="3"/>
  <c r="W175" i="3"/>
  <c r="X175" i="3"/>
  <c r="Y175" i="3"/>
  <c r="Z175" i="3"/>
  <c r="AA175" i="3"/>
  <c r="AB175" i="3"/>
  <c r="AC175" i="3"/>
  <c r="AD175" i="3"/>
  <c r="M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M177" i="3"/>
  <c r="AE177" i="3" s="1"/>
  <c r="T177" i="3"/>
  <c r="U177" i="3"/>
  <c r="V177" i="3"/>
  <c r="W177" i="3"/>
  <c r="X177" i="3"/>
  <c r="Y177" i="3"/>
  <c r="Z177" i="3"/>
  <c r="AA177" i="3"/>
  <c r="AB177" i="3"/>
  <c r="AC177" i="3"/>
  <c r="AD177" i="3"/>
  <c r="M178" i="3"/>
  <c r="AE178" i="3" s="1"/>
  <c r="T178" i="3"/>
  <c r="U178" i="3"/>
  <c r="V178" i="3"/>
  <c r="W178" i="3"/>
  <c r="X178" i="3"/>
  <c r="Y178" i="3"/>
  <c r="Z178" i="3"/>
  <c r="AA178" i="3"/>
  <c r="AB178" i="3"/>
  <c r="AC178" i="3"/>
  <c r="AD178" i="3"/>
  <c r="M179" i="3"/>
  <c r="AE179" i="3"/>
  <c r="T179" i="3"/>
  <c r="U179" i="3"/>
  <c r="V179" i="3"/>
  <c r="W179" i="3"/>
  <c r="X179" i="3"/>
  <c r="Y179" i="3"/>
  <c r="Z179" i="3"/>
  <c r="AA179" i="3"/>
  <c r="AB179" i="3"/>
  <c r="AC179" i="3"/>
  <c r="AD179" i="3"/>
  <c r="M180" i="3"/>
  <c r="AE180" i="3" s="1"/>
  <c r="T180" i="3"/>
  <c r="U180" i="3"/>
  <c r="V180" i="3"/>
  <c r="W180" i="3"/>
  <c r="X180" i="3"/>
  <c r="Y180" i="3"/>
  <c r="Z180" i="3"/>
  <c r="AA180" i="3"/>
  <c r="AB180" i="3"/>
  <c r="AC180" i="3"/>
  <c r="AD180" i="3"/>
  <c r="M181" i="3"/>
  <c r="AE181" i="3" s="1"/>
  <c r="T181" i="3"/>
  <c r="U181" i="3"/>
  <c r="V181" i="3"/>
  <c r="W181" i="3"/>
  <c r="X181" i="3"/>
  <c r="Y181" i="3"/>
  <c r="Z181" i="3"/>
  <c r="AA181" i="3"/>
  <c r="AB181" i="3"/>
  <c r="AC181" i="3"/>
  <c r="AD181" i="3"/>
  <c r="M182" i="3"/>
  <c r="AE182" i="3" s="1"/>
  <c r="T182" i="3"/>
  <c r="U182" i="3"/>
  <c r="V182" i="3"/>
  <c r="W182" i="3"/>
  <c r="X182" i="3"/>
  <c r="Y182" i="3"/>
  <c r="Z182" i="3"/>
  <c r="AA182" i="3"/>
  <c r="AB182" i="3"/>
  <c r="AC182" i="3"/>
  <c r="AD182" i="3"/>
  <c r="M183" i="3"/>
  <c r="AE183" i="3"/>
  <c r="T183" i="3"/>
  <c r="U183" i="3"/>
  <c r="V183" i="3"/>
  <c r="W183" i="3"/>
  <c r="X183" i="3"/>
  <c r="Y183" i="3"/>
  <c r="Z183" i="3"/>
  <c r="AA183" i="3"/>
  <c r="AB183" i="3"/>
  <c r="AC183" i="3"/>
  <c r="AD183" i="3"/>
  <c r="M184" i="3"/>
  <c r="AE184" i="3" s="1"/>
  <c r="T184" i="3"/>
  <c r="U184" i="3"/>
  <c r="V184" i="3"/>
  <c r="W184" i="3"/>
  <c r="X184" i="3"/>
  <c r="Y184" i="3"/>
  <c r="Z184" i="3"/>
  <c r="AA184" i="3"/>
  <c r="AB184" i="3"/>
  <c r="AC184" i="3"/>
  <c r="AD184" i="3"/>
  <c r="M185" i="3"/>
  <c r="AE185" i="3" s="1"/>
  <c r="T185" i="3"/>
  <c r="U185" i="3"/>
  <c r="V185" i="3"/>
  <c r="W185" i="3"/>
  <c r="X185" i="3"/>
  <c r="Y185" i="3"/>
  <c r="Z185" i="3"/>
  <c r="AA185" i="3"/>
  <c r="AB185" i="3"/>
  <c r="AC185" i="3"/>
  <c r="AD185" i="3"/>
  <c r="M186" i="3"/>
  <c r="T186" i="3"/>
  <c r="U186" i="3"/>
  <c r="V186" i="3"/>
  <c r="W186" i="3"/>
  <c r="X186" i="3"/>
  <c r="Y186" i="3"/>
  <c r="Z186" i="3"/>
  <c r="AA186" i="3"/>
  <c r="AB186" i="3"/>
  <c r="AC186" i="3"/>
  <c r="AD186" i="3"/>
  <c r="AE186" i="3"/>
  <c r="M187" i="3"/>
  <c r="AE187" i="3" s="1"/>
  <c r="T187" i="3"/>
  <c r="U187" i="3"/>
  <c r="V187" i="3"/>
  <c r="W187" i="3"/>
  <c r="X187" i="3"/>
  <c r="Y187" i="3"/>
  <c r="Z187" i="3"/>
  <c r="AA187" i="3"/>
  <c r="AB187" i="3"/>
  <c r="AC187" i="3"/>
  <c r="AD187" i="3"/>
  <c r="M188" i="3"/>
  <c r="AE188" i="3" s="1"/>
  <c r="T188" i="3"/>
  <c r="U188" i="3"/>
  <c r="V188" i="3"/>
  <c r="W188" i="3"/>
  <c r="X188" i="3"/>
  <c r="Y188" i="3"/>
  <c r="Z188" i="3"/>
  <c r="AA188" i="3"/>
  <c r="AB188" i="3"/>
  <c r="AC188" i="3"/>
  <c r="AD188" i="3"/>
  <c r="M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M190" i="3"/>
  <c r="AE190" i="3" s="1"/>
  <c r="T190" i="3"/>
  <c r="U190" i="3"/>
  <c r="V190" i="3"/>
  <c r="W190" i="3"/>
  <c r="X190" i="3"/>
  <c r="Y190" i="3"/>
  <c r="Z190" i="3"/>
  <c r="AA190" i="3"/>
  <c r="AB190" i="3"/>
  <c r="AC190" i="3"/>
  <c r="AD190" i="3"/>
  <c r="AG190" i="3"/>
  <c r="M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M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G192" i="3"/>
  <c r="M193" i="3"/>
  <c r="AE193" i="3" s="1"/>
  <c r="T193" i="3"/>
  <c r="U193" i="3"/>
  <c r="V193" i="3"/>
  <c r="W193" i="3"/>
  <c r="X193" i="3"/>
  <c r="Y193" i="3"/>
  <c r="Z193" i="3"/>
  <c r="AA193" i="3"/>
  <c r="AB193" i="3"/>
  <c r="AC193" i="3"/>
  <c r="AD193" i="3"/>
  <c r="M194" i="3"/>
  <c r="AE194" i="3" s="1"/>
  <c r="T194" i="3"/>
  <c r="U194" i="3"/>
  <c r="V194" i="3"/>
  <c r="W194" i="3"/>
  <c r="X194" i="3"/>
  <c r="Y194" i="3"/>
  <c r="Z194" i="3"/>
  <c r="AA194" i="3"/>
  <c r="AB194" i="3"/>
  <c r="AC194" i="3"/>
  <c r="AD194" i="3"/>
  <c r="M195" i="3"/>
  <c r="AE195" i="3"/>
  <c r="T195" i="3"/>
  <c r="U195" i="3"/>
  <c r="V195" i="3"/>
  <c r="W195" i="3"/>
  <c r="X195" i="3"/>
  <c r="Y195" i="3"/>
  <c r="Z195" i="3"/>
  <c r="AA195" i="3"/>
  <c r="AB195" i="3"/>
  <c r="AC195" i="3"/>
  <c r="AD195" i="3"/>
  <c r="M196" i="3"/>
  <c r="AE196" i="3" s="1"/>
  <c r="T196" i="3"/>
  <c r="U196" i="3"/>
  <c r="V196" i="3"/>
  <c r="W196" i="3"/>
  <c r="X196" i="3"/>
  <c r="Y196" i="3"/>
  <c r="Z196" i="3"/>
  <c r="AA196" i="3"/>
  <c r="AB196" i="3"/>
  <c r="AC196" i="3"/>
  <c r="AD196" i="3"/>
  <c r="M197" i="3"/>
  <c r="AE197" i="3" s="1"/>
  <c r="T197" i="3"/>
  <c r="U197" i="3"/>
  <c r="V197" i="3"/>
  <c r="W197" i="3"/>
  <c r="X197" i="3"/>
  <c r="Y197" i="3"/>
  <c r="Z197" i="3"/>
  <c r="AA197" i="3"/>
  <c r="AB197" i="3"/>
  <c r="AC197" i="3"/>
  <c r="AD197" i="3"/>
  <c r="M198" i="3"/>
  <c r="AE198" i="3"/>
  <c r="T198" i="3"/>
  <c r="U198" i="3"/>
  <c r="V198" i="3"/>
  <c r="W198" i="3"/>
  <c r="X198" i="3"/>
  <c r="Y198" i="3"/>
  <c r="Z198" i="3"/>
  <c r="AA198" i="3"/>
  <c r="AB198" i="3"/>
  <c r="AC198" i="3"/>
  <c r="AD198" i="3"/>
  <c r="AG198" i="3"/>
  <c r="M199" i="3"/>
  <c r="AE199" i="3"/>
  <c r="T199" i="3"/>
  <c r="U199" i="3"/>
  <c r="V199" i="3"/>
  <c r="W199" i="3"/>
  <c r="X199" i="3"/>
  <c r="Y199" i="3"/>
  <c r="Z199" i="3"/>
  <c r="AA199" i="3"/>
  <c r="AB199" i="3"/>
  <c r="AC199" i="3"/>
  <c r="AD199" i="3"/>
  <c r="M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M201" i="3"/>
  <c r="AE201" i="3" s="1"/>
  <c r="T201" i="3"/>
  <c r="U201" i="3"/>
  <c r="V201" i="3"/>
  <c r="W201" i="3"/>
  <c r="X201" i="3"/>
  <c r="Y201" i="3"/>
  <c r="Z201" i="3"/>
  <c r="AA201" i="3"/>
  <c r="AB201" i="3"/>
  <c r="AC201" i="3"/>
  <c r="AD201" i="3"/>
  <c r="M202" i="3"/>
  <c r="AE202" i="3" s="1"/>
  <c r="T202" i="3"/>
  <c r="U202" i="3"/>
  <c r="V202" i="3"/>
  <c r="W202" i="3"/>
  <c r="X202" i="3"/>
  <c r="Y202" i="3"/>
  <c r="Z202" i="3"/>
  <c r="AA202" i="3"/>
  <c r="AB202" i="3"/>
  <c r="AC202" i="3"/>
  <c r="AD202" i="3"/>
  <c r="M203" i="3"/>
  <c r="AE203" i="3" s="1"/>
  <c r="T203" i="3"/>
  <c r="U203" i="3"/>
  <c r="V203" i="3"/>
  <c r="W203" i="3"/>
  <c r="X203" i="3"/>
  <c r="Y203" i="3"/>
  <c r="Z203" i="3"/>
  <c r="AA203" i="3"/>
  <c r="AB203" i="3"/>
  <c r="AC203" i="3"/>
  <c r="AD203" i="3"/>
  <c r="M204" i="3"/>
  <c r="AE204" i="3"/>
  <c r="T204" i="3"/>
  <c r="U204" i="3"/>
  <c r="V204" i="3"/>
  <c r="W204" i="3"/>
  <c r="X204" i="3"/>
  <c r="Y204" i="3"/>
  <c r="Z204" i="3"/>
  <c r="AA204" i="3"/>
  <c r="AB204" i="3"/>
  <c r="AC204" i="3"/>
  <c r="AD204" i="3"/>
  <c r="AG204" i="3"/>
  <c r="M205" i="3"/>
  <c r="AE205" i="3" s="1"/>
  <c r="T205" i="3"/>
  <c r="U205" i="3"/>
  <c r="V205" i="3"/>
  <c r="W205" i="3"/>
  <c r="X205" i="3"/>
  <c r="Y205" i="3"/>
  <c r="Z205" i="3"/>
  <c r="AA205" i="3"/>
  <c r="AB205" i="3"/>
  <c r="AC205" i="3"/>
  <c r="AD205" i="3"/>
  <c r="M206" i="3"/>
  <c r="AE206" i="3" s="1"/>
  <c r="T206" i="3"/>
  <c r="U206" i="3"/>
  <c r="V206" i="3"/>
  <c r="W206" i="3"/>
  <c r="X206" i="3"/>
  <c r="Y206" i="3"/>
  <c r="Z206" i="3"/>
  <c r="AA206" i="3"/>
  <c r="AB206" i="3"/>
  <c r="AC206" i="3"/>
  <c r="AD206" i="3"/>
  <c r="AF23" i="3"/>
  <c r="AG18" i="3"/>
  <c r="AG50" i="3"/>
  <c r="AG90" i="3"/>
  <c r="AG114" i="3"/>
  <c r="AF131" i="3"/>
  <c r="AG178" i="3"/>
  <c r="AF195" i="3"/>
  <c r="AF21" i="3"/>
  <c r="AF36" i="3"/>
  <c r="AG59" i="3"/>
  <c r="AG83" i="3"/>
  <c r="AG123" i="3"/>
  <c r="AG147" i="3"/>
  <c r="AF164" i="3"/>
  <c r="AG6" i="3"/>
  <c r="AF9" i="3"/>
  <c r="AG31" i="3"/>
  <c r="AF72" i="3"/>
  <c r="AG95" i="3"/>
  <c r="AG119" i="3"/>
  <c r="AG151" i="3"/>
  <c r="AG167" i="3"/>
  <c r="AG183" i="3"/>
  <c r="AF17" i="3"/>
  <c r="AF29" i="3"/>
  <c r="AG170" i="3"/>
  <c r="AF126" i="3"/>
  <c r="AG113" i="3"/>
  <c r="AG80" i="3"/>
  <c r="AG57" i="3"/>
  <c r="AG13" i="3"/>
  <c r="AF15" i="3"/>
  <c r="AG29" i="3"/>
  <c r="AF34" i="3"/>
  <c r="AG37" i="3"/>
  <c r="AG45" i="3"/>
  <c r="AF50" i="3"/>
  <c r="AG53" i="3"/>
  <c r="AG61" i="3"/>
  <c r="AF66" i="3"/>
  <c r="AF70" i="3"/>
  <c r="AG77" i="3"/>
  <c r="AF82" i="3"/>
  <c r="AF86" i="3"/>
  <c r="AG93" i="3"/>
  <c r="AF4" i="3"/>
  <c r="AF14" i="3"/>
  <c r="AF31" i="3"/>
  <c r="AF33" i="3"/>
  <c r="AF39" i="3"/>
  <c r="AF47" i="3"/>
  <c r="AF49" i="3"/>
  <c r="AF55" i="3"/>
  <c r="AF63" i="3"/>
  <c r="AF65" i="3"/>
  <c r="AF69" i="3"/>
  <c r="AG72" i="3"/>
  <c r="AG76" i="3"/>
  <c r="AF79" i="3"/>
  <c r="AF85" i="3"/>
  <c r="AG86" i="3"/>
  <c r="AG88" i="3"/>
  <c r="AF95" i="3"/>
  <c r="AF97" i="3"/>
  <c r="AF101" i="3"/>
  <c r="AG104" i="3"/>
  <c r="AG108" i="3"/>
  <c r="AF111" i="3"/>
  <c r="AF117" i="3"/>
  <c r="AG118" i="3"/>
  <c r="AG120" i="3"/>
  <c r="AF127" i="3"/>
  <c r="AF129" i="3"/>
  <c r="AF133" i="3"/>
  <c r="AG136" i="3"/>
  <c r="AG140" i="3"/>
  <c r="AF143" i="3"/>
  <c r="AF149" i="3"/>
  <c r="AG150" i="3"/>
  <c r="AG152" i="3"/>
  <c r="AF159" i="3"/>
  <c r="AF161" i="3"/>
  <c r="AF165" i="3"/>
  <c r="AG168" i="3"/>
  <c r="AG38" i="3"/>
  <c r="AG46" i="3"/>
  <c r="AF62" i="3"/>
  <c r="AG65" i="3"/>
  <c r="AF74" i="3"/>
  <c r="AG81" i="3"/>
  <c r="AF90" i="3"/>
  <c r="AF94" i="3"/>
  <c r="AF106" i="3"/>
  <c r="AG109" i="3"/>
  <c r="AG116" i="3"/>
  <c r="AF121" i="3"/>
  <c r="AG128" i="3"/>
  <c r="AF138" i="3"/>
  <c r="AG148" i="3"/>
  <c r="AF150" i="3"/>
  <c r="AF154" i="3"/>
  <c r="AF162" i="3"/>
  <c r="AG169" i="3"/>
  <c r="AG173" i="3"/>
  <c r="AF182" i="3"/>
  <c r="AG185" i="3"/>
  <c r="AG189" i="3"/>
  <c r="AF194" i="3"/>
  <c r="AF198" i="3"/>
  <c r="AG201" i="3"/>
  <c r="AG205" i="3"/>
  <c r="AG7" i="3"/>
  <c r="AF53" i="3"/>
  <c r="AF37" i="3"/>
  <c r="AF10" i="3"/>
  <c r="AF11" i="3"/>
  <c r="AF27" i="3"/>
  <c r="AF43" i="3"/>
  <c r="AF59" i="3"/>
  <c r="AF75" i="3"/>
  <c r="AF91" i="3"/>
  <c r="AF107" i="3"/>
  <c r="AF123" i="3"/>
  <c r="AF139" i="3"/>
  <c r="AF155" i="3"/>
  <c r="AF171" i="3"/>
  <c r="AF187" i="3"/>
  <c r="AF203" i="3"/>
  <c r="AG36" i="3"/>
  <c r="AF12" i="3"/>
  <c r="AF28" i="3"/>
  <c r="AF44" i="3"/>
  <c r="AF60" i="3"/>
  <c r="AF76" i="3"/>
  <c r="AF92" i="3"/>
  <c r="AF108" i="3"/>
  <c r="AF124" i="3"/>
  <c r="AF140" i="3"/>
  <c r="AF156" i="3"/>
  <c r="AF172" i="3"/>
  <c r="AF188" i="3"/>
  <c r="AF204" i="3"/>
  <c r="AG28" i="3"/>
  <c r="AF16" i="3"/>
  <c r="AF32" i="3"/>
  <c r="AF48" i="3"/>
  <c r="AF64" i="3"/>
  <c r="AF80" i="3"/>
  <c r="AF96" i="3"/>
  <c r="AF112" i="3"/>
  <c r="AG25" i="3"/>
  <c r="AG32" i="3"/>
  <c r="AG62" i="3"/>
  <c r="AG69" i="3"/>
  <c r="AG78" i="3"/>
  <c r="AG85" i="3"/>
  <c r="AG94" i="3"/>
  <c r="AG100" i="3"/>
  <c r="AF102" i="3"/>
  <c r="AF105" i="3"/>
  <c r="AG112" i="3"/>
  <c r="AF114" i="3"/>
  <c r="AG14" i="3"/>
  <c r="AG17" i="3"/>
  <c r="AF22" i="3"/>
  <c r="AF30" i="3"/>
  <c r="AG33" i="3"/>
  <c r="AG40" i="3"/>
  <c r="AG48" i="3"/>
  <c r="AG56" i="3"/>
  <c r="AF73" i="3"/>
  <c r="AF77" i="3"/>
  <c r="AF89" i="3"/>
  <c r="AF93" i="3"/>
  <c r="AF98" i="3"/>
  <c r="AG105" i="3"/>
  <c r="AF110" i="3"/>
  <c r="AG117" i="3"/>
  <c r="AF119" i="3"/>
  <c r="AF125" i="3"/>
  <c r="AG126" i="3"/>
  <c r="AG132" i="3"/>
  <c r="AG137" i="3"/>
  <c r="AF142" i="3"/>
  <c r="AG144" i="3"/>
  <c r="AG149" i="3"/>
  <c r="AF151" i="3"/>
  <c r="AG153" i="3"/>
  <c r="AF158" i="3"/>
  <c r="AG161" i="3"/>
  <c r="AF170" i="3"/>
  <c r="AF174" i="3"/>
  <c r="AG177" i="3"/>
  <c r="AG181" i="3"/>
  <c r="AF186" i="3"/>
  <c r="AF190" i="3"/>
  <c r="AG193" i="3"/>
  <c r="AG197" i="3"/>
  <c r="AF202" i="3"/>
  <c r="AF206" i="3"/>
  <c r="AF61" i="3"/>
  <c r="AF45" i="3"/>
  <c r="AG22" i="3"/>
  <c r="AF5" i="3"/>
  <c r="AF19" i="3"/>
  <c r="AF35" i="3"/>
  <c r="AF8" i="3"/>
  <c r="AG16" i="3"/>
  <c r="AF160" i="3"/>
  <c r="AF128" i="3"/>
  <c r="AF88" i="3"/>
  <c r="AF24" i="3"/>
  <c r="AF180" i="3"/>
  <c r="AG139" i="3"/>
  <c r="AG99" i="3"/>
  <c r="AF52" i="3"/>
  <c r="AG20" i="3"/>
  <c r="AF147" i="3"/>
  <c r="AG106" i="3"/>
  <c r="AF83" i="3"/>
  <c r="AG42" i="3"/>
  <c r="AG10" i="3"/>
  <c r="AG206" i="3"/>
  <c r="AF189" i="3"/>
  <c r="AF177" i="3"/>
  <c r="AF175" i="3"/>
  <c r="AG9" i="3"/>
  <c r="AG143" i="3"/>
  <c r="AG63" i="3"/>
  <c r="AG12" i="3"/>
  <c r="AG155" i="3"/>
  <c r="AG91" i="3"/>
  <c r="AG27" i="3"/>
  <c r="AF163" i="3"/>
  <c r="AF99" i="3"/>
  <c r="AG34" i="3"/>
  <c r="AG52" i="3"/>
  <c r="AF201" i="3"/>
  <c r="AF199" i="3"/>
  <c r="AF193" i="3"/>
  <c r="AF191" i="3"/>
  <c r="AF185" i="3"/>
  <c r="AF183" i="3"/>
  <c r="AG172" i="3"/>
  <c r="AF169" i="3"/>
  <c r="AF166" i="3"/>
  <c r="AG164" i="3"/>
  <c r="AG160" i="3"/>
  <c r="AF157" i="3"/>
  <c r="AF153" i="3"/>
  <c r="AG145" i="3"/>
  <c r="AF137" i="3"/>
  <c r="AF134" i="3"/>
  <c r="AF130" i="3"/>
  <c r="AF122" i="3"/>
  <c r="AF109" i="3"/>
  <c r="AG101" i="3"/>
  <c r="AG96" i="3"/>
  <c r="AG84" i="3"/>
  <c r="AF71" i="3"/>
  <c r="AF54" i="3"/>
  <c r="AG41" i="3"/>
  <c r="AG30" i="3"/>
  <c r="AF192" i="3"/>
  <c r="AF176" i="3"/>
  <c r="AF144" i="3"/>
  <c r="AG111" i="3"/>
  <c r="AG71" i="3"/>
  <c r="AG47" i="3"/>
  <c r="AG203" i="3"/>
  <c r="AG163" i="3"/>
  <c r="AF116" i="3"/>
  <c r="AG75" i="3"/>
  <c r="AG35" i="3"/>
  <c r="AG11" i="3"/>
  <c r="AG194" i="3"/>
  <c r="AG130" i="3"/>
  <c r="AG66" i="3"/>
  <c r="AG44" i="3"/>
  <c r="AF197" i="3"/>
  <c r="AF181" i="3"/>
  <c r="AF25" i="3"/>
  <c r="AG191" i="3"/>
  <c r="AG175" i="3"/>
  <c r="AG159" i="3"/>
  <c r="AG127" i="3"/>
  <c r="AF104" i="3"/>
  <c r="AG87" i="3"/>
  <c r="AF40" i="3"/>
  <c r="AG23" i="3"/>
  <c r="AF196" i="3"/>
  <c r="AG179" i="3"/>
  <c r="AF132" i="3"/>
  <c r="AG115" i="3"/>
  <c r="AF68" i="3"/>
  <c r="AG51" i="3"/>
  <c r="AF6" i="3"/>
  <c r="AF13" i="3"/>
  <c r="AG186" i="3"/>
  <c r="AG146" i="3"/>
  <c r="AG122" i="3"/>
  <c r="AG82" i="3"/>
  <c r="AG58" i="3"/>
  <c r="AG4" i="3"/>
  <c r="AF205" i="3"/>
  <c r="AG24" i="3"/>
  <c r="AF200" i="3"/>
  <c r="AF184" i="3"/>
  <c r="AF168" i="3"/>
  <c r="AF152" i="3"/>
  <c r="AF136" i="3"/>
  <c r="AF120" i="3"/>
  <c r="AG103" i="3"/>
  <c r="AG79" i="3"/>
  <c r="AF56" i="3"/>
  <c r="AG39" i="3"/>
  <c r="AG15" i="3"/>
  <c r="AF7" i="3"/>
  <c r="AG195" i="3"/>
  <c r="AG171" i="3"/>
  <c r="AF148" i="3"/>
  <c r="AG131" i="3"/>
  <c r="AG107" i="3"/>
  <c r="AF84" i="3"/>
  <c r="AG67" i="3"/>
  <c r="AG43" i="3"/>
  <c r="AF20" i="3"/>
  <c r="AG5" i="3"/>
  <c r="AG202" i="3"/>
  <c r="AF179" i="3"/>
  <c r="AG162" i="3"/>
  <c r="AG138" i="3"/>
  <c r="AF115" i="3"/>
  <c r="AG98" i="3"/>
  <c r="AG74" i="3"/>
  <c r="AF51" i="3"/>
  <c r="AG26" i="3"/>
  <c r="AG21" i="3"/>
  <c r="AG60" i="3"/>
  <c r="AG196" i="3"/>
  <c r="AG188" i="3"/>
  <c r="AG180" i="3"/>
  <c r="AG176" i="3"/>
  <c r="AG174" i="3"/>
  <c r="AF141" i="3"/>
  <c r="AG125" i="3"/>
  <c r="AF103" i="3"/>
  <c r="AF87" i="3"/>
  <c r="AF46" i="3"/>
  <c r="AG110" i="3" l="1"/>
  <c r="AG121" i="3"/>
  <c r="AG64" i="3"/>
  <c r="AG129" i="3"/>
  <c r="AF135" i="3"/>
  <c r="AF146" i="3"/>
  <c r="AF167" i="3"/>
  <c r="AG184" i="3"/>
  <c r="AG200" i="3"/>
  <c r="AG8" i="3"/>
  <c r="AF67" i="3"/>
  <c r="AG154" i="3"/>
  <c r="AG19" i="3"/>
  <c r="AF100" i="3"/>
  <c r="AG187" i="3"/>
  <c r="AG55" i="3"/>
  <c r="AG135" i="3"/>
  <c r="AG199" i="3"/>
  <c r="AG142" i="3"/>
  <c r="AG68" i="3"/>
  <c r="AF26" i="3"/>
  <c r="AF42" i="3"/>
  <c r="AF58" i="3"/>
  <c r="AG73" i="3"/>
  <c r="AG89" i="3"/>
  <c r="AF18" i="3"/>
  <c r="AF41" i="3"/>
  <c r="AF57" i="3"/>
  <c r="AG70" i="3"/>
  <c r="AF81" i="3"/>
  <c r="AG92" i="3"/>
  <c r="AG102" i="3"/>
  <c r="AF113" i="3"/>
  <c r="AG124" i="3"/>
  <c r="AG134" i="3"/>
  <c r="AF145" i="3"/>
  <c r="AG156" i="3"/>
  <c r="AG166" i="3"/>
  <c r="AG54" i="3"/>
  <c r="AF78" i="3"/>
  <c r="AG97" i="3"/>
  <c r="AF118" i="3"/>
  <c r="AG141" i="3"/>
  <c r="AG157" i="3"/>
  <c r="AF178" i="3"/>
  <c r="AG49" i="3"/>
  <c r="AF38" i="3"/>
  <c r="AG133" i="3"/>
  <c r="AG158" i="3"/>
  <c r="AG165" i="3"/>
  <c r="AG182" i="3"/>
</calcChain>
</file>

<file path=xl/sharedStrings.xml><?xml version="1.0" encoding="utf-8"?>
<sst xmlns="http://schemas.openxmlformats.org/spreadsheetml/2006/main" count="63" uniqueCount="62">
  <si>
    <t>X/H</t>
  </si>
  <si>
    <t>Y/H</t>
  </si>
  <si>
    <t>Z/H</t>
  </si>
  <si>
    <t>&lt;usc&gt; (m/s)</t>
    <phoneticPr fontId="2"/>
  </si>
  <si>
    <t>σc (ppm)</t>
    <phoneticPr fontId="2"/>
  </si>
  <si>
    <t>&lt;c&gt; (ppm)</t>
    <phoneticPr fontId="2"/>
  </si>
  <si>
    <t>&lt;u&gt; (m/s)</t>
    <phoneticPr fontId="2"/>
  </si>
  <si>
    <t>&lt;v&gt; (m/s)</t>
    <phoneticPr fontId="2"/>
  </si>
  <si>
    <t>&lt;w&gt; (m/s)</t>
    <phoneticPr fontId="2"/>
  </si>
  <si>
    <t>σu (m/s)</t>
    <phoneticPr fontId="2"/>
  </si>
  <si>
    <t>σv (m/s)</t>
    <phoneticPr fontId="2"/>
  </si>
  <si>
    <t>σw (m/s)</t>
    <phoneticPr fontId="2"/>
  </si>
  <si>
    <t>σusc (m/s)</t>
    <phoneticPr fontId="2"/>
  </si>
  <si>
    <t>k (m2/s2)</t>
    <phoneticPr fontId="2"/>
  </si>
  <si>
    <t>displacement</t>
    <phoneticPr fontId="9"/>
  </si>
  <si>
    <t>mean velocity</t>
    <phoneticPr fontId="9"/>
  </si>
  <si>
    <t>root mean square</t>
    <phoneticPr fontId="9"/>
  </si>
  <si>
    <t>2nd order moment</t>
    <phoneticPr fontId="9"/>
  </si>
  <si>
    <t>#</t>
    <phoneticPr fontId="9"/>
  </si>
  <si>
    <t>x(mm)</t>
  </si>
  <si>
    <t xml:space="preserve"> y(mm)</t>
  </si>
  <si>
    <t xml:space="preserve"> z(mm)</t>
  </si>
  <si>
    <t xml:space="preserve"> x/H</t>
  </si>
  <si>
    <t xml:space="preserve"> y/H</t>
  </si>
  <si>
    <t xml:space="preserve"> z/H</t>
  </si>
  <si>
    <t xml:space="preserve">  u/uH</t>
  </si>
  <si>
    <t xml:space="preserve"> v/uH</t>
  </si>
  <si>
    <t xml:space="preserve"> w/uH</t>
  </si>
  <si>
    <t xml:space="preserve">  urms/uH</t>
  </si>
  <si>
    <t xml:space="preserve"> vrms/uH</t>
  </si>
  <si>
    <t xml:space="preserve"> wrms/uH</t>
  </si>
  <si>
    <t xml:space="preserve">  urms_v/uH</t>
  </si>
  <si>
    <t xml:space="preserve"> urms_w/uH</t>
  </si>
  <si>
    <t xml:space="preserve"> wrms_u/uH</t>
  </si>
  <si>
    <t xml:space="preserve"> uwR/uH^2</t>
  </si>
  <si>
    <t xml:space="preserve"> uvR/uH^2</t>
  </si>
  <si>
    <t xml:space="preserve"> uw_wR/uH^2</t>
  </si>
  <si>
    <t xml:space="preserve">  k/uH^2</t>
  </si>
  <si>
    <t>k=0.5 (urms^2+vrms^2+wrms^2)</t>
    <phoneticPr fontId="9"/>
  </si>
  <si>
    <t>displacement</t>
  </si>
  <si>
    <t>y(mm)</t>
  </si>
  <si>
    <t>z(mm)</t>
  </si>
  <si>
    <t>Velocity magnitute</t>
    <phoneticPr fontId="4"/>
  </si>
  <si>
    <t>Velocity magnitute_s.d.</t>
    <phoneticPr fontId="4"/>
  </si>
  <si>
    <t>Normalized values</t>
    <phoneticPr fontId="4"/>
  </si>
  <si>
    <t>wind tunnel  W: 1200mm, Height: 1000mm</t>
    <phoneticPr fontId="5"/>
  </si>
  <si>
    <r>
      <t>&lt;usc&gt;/U</t>
    </r>
    <r>
      <rPr>
        <vertAlign val="subscript"/>
        <sz val="11"/>
        <color indexed="8"/>
        <rFont val="Arial"/>
        <family val="2"/>
      </rPr>
      <t>H</t>
    </r>
    <phoneticPr fontId="2"/>
  </si>
  <si>
    <r>
      <t>σusc/U</t>
    </r>
    <r>
      <rPr>
        <vertAlign val="subscript"/>
        <sz val="11"/>
        <color indexed="8"/>
        <rFont val="Arial"/>
        <family val="2"/>
      </rPr>
      <t>H</t>
    </r>
    <phoneticPr fontId="2"/>
  </si>
  <si>
    <r>
      <t>&lt;u&gt;/U</t>
    </r>
    <r>
      <rPr>
        <vertAlign val="subscript"/>
        <sz val="11"/>
        <color indexed="8"/>
        <rFont val="Arial"/>
        <family val="2"/>
      </rPr>
      <t>H</t>
    </r>
    <phoneticPr fontId="2"/>
  </si>
  <si>
    <r>
      <t>&lt;v&gt;/U</t>
    </r>
    <r>
      <rPr>
        <vertAlign val="subscript"/>
        <sz val="11"/>
        <color indexed="8"/>
        <rFont val="Arial"/>
        <family val="2"/>
      </rPr>
      <t>H</t>
    </r>
    <phoneticPr fontId="2"/>
  </si>
  <si>
    <r>
      <t>&lt;w&gt;/U</t>
    </r>
    <r>
      <rPr>
        <vertAlign val="subscript"/>
        <sz val="11"/>
        <color indexed="8"/>
        <rFont val="Arial"/>
        <family val="2"/>
      </rPr>
      <t>H</t>
    </r>
    <phoneticPr fontId="2"/>
  </si>
  <si>
    <r>
      <t>σu/U</t>
    </r>
    <r>
      <rPr>
        <vertAlign val="subscript"/>
        <sz val="11"/>
        <color indexed="8"/>
        <rFont val="Arial"/>
        <family val="2"/>
      </rPr>
      <t>H</t>
    </r>
    <phoneticPr fontId="2"/>
  </si>
  <si>
    <r>
      <t>σv/U</t>
    </r>
    <r>
      <rPr>
        <vertAlign val="subscript"/>
        <sz val="11"/>
        <color indexed="8"/>
        <rFont val="Arial"/>
        <family val="2"/>
      </rPr>
      <t>H</t>
    </r>
    <phoneticPr fontId="2"/>
  </si>
  <si>
    <r>
      <t>σw/U</t>
    </r>
    <r>
      <rPr>
        <vertAlign val="subscript"/>
        <sz val="11"/>
        <color indexed="8"/>
        <rFont val="Arial"/>
        <family val="2"/>
      </rPr>
      <t>H</t>
    </r>
    <phoneticPr fontId="2"/>
  </si>
  <si>
    <r>
      <t>k/U</t>
    </r>
    <r>
      <rPr>
        <vertAlign val="subscript"/>
        <sz val="11"/>
        <color indexed="8"/>
        <rFont val="Arial"/>
        <family val="2"/>
      </rPr>
      <t>H</t>
    </r>
    <r>
      <rPr>
        <vertAlign val="superscript"/>
        <sz val="11"/>
        <color indexed="8"/>
        <rFont val="Arial"/>
        <family val="2"/>
      </rPr>
      <t>2</t>
    </r>
    <phoneticPr fontId="2"/>
  </si>
  <si>
    <r>
      <t>&lt;c&gt;/C</t>
    </r>
    <r>
      <rPr>
        <vertAlign val="subscript"/>
        <sz val="11"/>
        <color indexed="8"/>
        <rFont val="Arial"/>
        <family val="2"/>
      </rPr>
      <t>0</t>
    </r>
    <phoneticPr fontId="2"/>
  </si>
  <si>
    <r>
      <t>σc/C</t>
    </r>
    <r>
      <rPr>
        <vertAlign val="subscript"/>
        <sz val="11"/>
        <color indexed="8"/>
        <rFont val="Arial"/>
        <family val="2"/>
      </rPr>
      <t>0</t>
    </r>
    <phoneticPr fontId="2"/>
  </si>
  <si>
    <r>
      <t>Reference height</t>
    </r>
    <r>
      <rPr>
        <sz val="14"/>
        <color indexed="8"/>
        <rFont val="ＭＳ Ｐ明朝"/>
        <family val="1"/>
        <charset val="128"/>
      </rPr>
      <t>　</t>
    </r>
    <r>
      <rPr>
        <sz val="14"/>
        <color indexed="8"/>
        <rFont val="Arial"/>
        <family val="2"/>
      </rPr>
      <t>H  (m)</t>
    </r>
    <phoneticPr fontId="4"/>
  </si>
  <si>
    <r>
      <t>Reference velocity</t>
    </r>
    <r>
      <rPr>
        <sz val="14"/>
        <color indexed="8"/>
        <rFont val="ＭＳ Ｐ明朝"/>
        <family val="1"/>
        <charset val="128"/>
      </rPr>
      <t>　　</t>
    </r>
    <r>
      <rPr>
        <sz val="14"/>
        <color indexed="8"/>
        <rFont val="Arial"/>
        <family val="2"/>
      </rPr>
      <t>U</t>
    </r>
    <r>
      <rPr>
        <vertAlign val="subscript"/>
        <sz val="14"/>
        <color indexed="8"/>
        <rFont val="Arial"/>
        <family val="2"/>
      </rPr>
      <t xml:space="preserve">H  </t>
    </r>
    <r>
      <rPr>
        <sz val="14"/>
        <color indexed="8"/>
        <rFont val="Arial"/>
        <family val="2"/>
      </rPr>
      <t>(m/s)</t>
    </r>
    <phoneticPr fontId="4"/>
  </si>
  <si>
    <r>
      <t>release gas concentration</t>
    </r>
    <r>
      <rPr>
        <sz val="14"/>
        <color indexed="8"/>
        <rFont val="ＭＳ Ｐ明朝"/>
        <family val="1"/>
        <charset val="128"/>
      </rPr>
      <t>　　</t>
    </r>
    <r>
      <rPr>
        <sz val="14"/>
        <color indexed="8"/>
        <rFont val="Arial"/>
        <family val="2"/>
      </rPr>
      <t>C</t>
    </r>
    <r>
      <rPr>
        <vertAlign val="subscript"/>
        <sz val="14"/>
        <color indexed="8"/>
        <rFont val="Arial"/>
        <family val="2"/>
      </rPr>
      <t xml:space="preserve">gas </t>
    </r>
    <r>
      <rPr>
        <sz val="14"/>
        <color indexed="8"/>
        <rFont val="Arial"/>
        <family val="2"/>
      </rPr>
      <t xml:space="preserve"> (ppm)</t>
    </r>
    <phoneticPr fontId="2"/>
  </si>
  <si>
    <r>
      <t>Gas flow rate</t>
    </r>
    <r>
      <rPr>
        <sz val="14"/>
        <color indexed="63"/>
        <rFont val="ＭＳ Ｐ明朝"/>
        <family val="1"/>
        <charset val="128"/>
      </rPr>
      <t>　　</t>
    </r>
    <r>
      <rPr>
        <sz val="14"/>
        <color indexed="63"/>
        <rFont val="Arial"/>
        <family val="2"/>
      </rPr>
      <t>q  (m3/s)</t>
    </r>
    <phoneticPr fontId="2"/>
  </si>
  <si>
    <r>
      <t>Standard concentation</t>
    </r>
    <r>
      <rPr>
        <sz val="14"/>
        <color indexed="8"/>
        <rFont val="ＭＳ Ｐ明朝"/>
        <family val="1"/>
        <charset val="128"/>
      </rPr>
      <t>　</t>
    </r>
    <r>
      <rPr>
        <sz val="14"/>
        <color indexed="8"/>
        <rFont val="Arial"/>
        <family val="2"/>
      </rPr>
      <t>C</t>
    </r>
    <r>
      <rPr>
        <vertAlign val="subscript"/>
        <sz val="14"/>
        <color indexed="8"/>
        <rFont val="Arial"/>
        <family val="2"/>
      </rPr>
      <t>0</t>
    </r>
    <r>
      <rPr>
        <sz val="14"/>
        <color indexed="8"/>
        <rFont val="Arial"/>
        <family val="2"/>
      </rPr>
      <t xml:space="preserve">  (ppm)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</si>
</sst>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"/>
  </numFmts>
  <fonts count="3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color indexed="8"/>
      <name val="ＭＳ Ｐ明朝"/>
      <family val="1"/>
      <charset val="128"/>
    </font>
    <font>
      <sz val="14"/>
      <color indexed="63"/>
      <name val="ＭＳ Ｐ明朝"/>
      <family val="1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Times New Roman"/>
      <family val="1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sz val="16"/>
      <color rgb="FFFF0000"/>
      <name val="ＭＳ Ｐゴシック"/>
      <family val="3"/>
      <charset val="128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vertAlign val="subscript"/>
      <sz val="11"/>
      <color indexed="8"/>
      <name val="Arial"/>
      <family val="2"/>
    </font>
    <font>
      <vertAlign val="superscript"/>
      <sz val="11"/>
      <color indexed="8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vertAlign val="subscript"/>
      <sz val="14"/>
      <color indexed="8"/>
      <name val="Arial"/>
      <family val="2"/>
    </font>
    <font>
      <sz val="14"/>
      <color indexed="63"/>
      <name val="Arial"/>
      <family val="2"/>
    </font>
    <font>
      <sz val="14"/>
      <color rgb="FF333333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53">
    <xf numFmtId="0" fontId="0" fillId="0" borderId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6" borderId="38" applyNumberFormat="0" applyAlignment="0" applyProtection="0">
      <alignment vertical="center"/>
    </xf>
    <xf numFmtId="0" fontId="14" fillId="26" borderId="38" applyNumberFormat="0" applyAlignment="0" applyProtection="0">
      <alignment vertical="center"/>
    </xf>
    <xf numFmtId="0" fontId="14" fillId="26" borderId="38" applyNumberFormat="0" applyAlignment="0" applyProtection="0">
      <alignment vertical="center"/>
    </xf>
    <xf numFmtId="0" fontId="14" fillId="26" borderId="38" applyNumberFormat="0" applyAlignment="0" applyProtection="0">
      <alignment vertical="center"/>
    </xf>
    <xf numFmtId="0" fontId="14" fillId="26" borderId="38" applyNumberFormat="0" applyAlignment="0" applyProtection="0">
      <alignment vertical="center"/>
    </xf>
    <xf numFmtId="0" fontId="14" fillId="26" borderId="38" applyNumberFormat="0" applyAlignment="0" applyProtection="0">
      <alignment vertical="center"/>
    </xf>
    <xf numFmtId="0" fontId="14" fillId="26" borderId="38" applyNumberFormat="0" applyAlignment="0" applyProtection="0">
      <alignment vertical="center"/>
    </xf>
    <xf numFmtId="0" fontId="14" fillId="26" borderId="38" applyNumberFormat="0" applyAlignment="0" applyProtection="0">
      <alignment vertical="center"/>
    </xf>
    <xf numFmtId="0" fontId="14" fillId="26" borderId="38" applyNumberFormat="0" applyAlignment="0" applyProtection="0">
      <alignment vertical="center"/>
    </xf>
    <xf numFmtId="0" fontId="14" fillId="26" borderId="38" applyNumberFormat="0" applyAlignment="0" applyProtection="0">
      <alignment vertical="center"/>
    </xf>
    <xf numFmtId="0" fontId="14" fillId="26" borderId="38" applyNumberFormat="0" applyAlignment="0" applyProtection="0">
      <alignment vertical="center"/>
    </xf>
    <xf numFmtId="0" fontId="14" fillId="26" borderId="38" applyNumberFormat="0" applyAlignment="0" applyProtection="0">
      <alignment vertical="center"/>
    </xf>
    <xf numFmtId="0" fontId="14" fillId="26" borderId="38" applyNumberFormat="0" applyAlignment="0" applyProtection="0">
      <alignment vertical="center"/>
    </xf>
    <xf numFmtId="0" fontId="14" fillId="26" borderId="38" applyNumberFormat="0" applyAlignment="0" applyProtection="0">
      <alignment vertical="center"/>
    </xf>
    <xf numFmtId="0" fontId="14" fillId="26" borderId="38" applyNumberFormat="0" applyAlignment="0" applyProtection="0">
      <alignment vertical="center"/>
    </xf>
    <xf numFmtId="0" fontId="14" fillId="26" borderId="38" applyNumberFormat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0" fillId="28" borderId="39" applyNumberFormat="0" applyFont="0" applyAlignment="0" applyProtection="0">
      <alignment vertical="center"/>
    </xf>
    <xf numFmtId="0" fontId="1" fillId="28" borderId="39" applyNumberFormat="0" applyFont="0" applyAlignment="0" applyProtection="0">
      <alignment vertical="center"/>
    </xf>
    <xf numFmtId="0" fontId="1" fillId="28" borderId="39" applyNumberFormat="0" applyFont="0" applyAlignment="0" applyProtection="0">
      <alignment vertical="center"/>
    </xf>
    <xf numFmtId="0" fontId="1" fillId="28" borderId="39" applyNumberFormat="0" applyFont="0" applyAlignment="0" applyProtection="0">
      <alignment vertical="center"/>
    </xf>
    <xf numFmtId="0" fontId="1" fillId="28" borderId="39" applyNumberFormat="0" applyFont="0" applyAlignment="0" applyProtection="0">
      <alignment vertical="center"/>
    </xf>
    <xf numFmtId="0" fontId="1" fillId="28" borderId="39" applyNumberFormat="0" applyFont="0" applyAlignment="0" applyProtection="0">
      <alignment vertical="center"/>
    </xf>
    <xf numFmtId="0" fontId="1" fillId="28" borderId="39" applyNumberFormat="0" applyFont="0" applyAlignment="0" applyProtection="0">
      <alignment vertical="center"/>
    </xf>
    <xf numFmtId="0" fontId="10" fillId="28" borderId="39" applyNumberFormat="0" applyFont="0" applyAlignment="0" applyProtection="0">
      <alignment vertical="center"/>
    </xf>
    <xf numFmtId="0" fontId="10" fillId="28" borderId="39" applyNumberFormat="0" applyFont="0" applyAlignment="0" applyProtection="0">
      <alignment vertical="center"/>
    </xf>
    <xf numFmtId="0" fontId="16" fillId="0" borderId="40" applyNumberFormat="0" applyFill="0" applyAlignment="0" applyProtection="0">
      <alignment vertical="center"/>
    </xf>
    <xf numFmtId="0" fontId="16" fillId="0" borderId="40" applyNumberFormat="0" applyFill="0" applyAlignment="0" applyProtection="0">
      <alignment vertical="center"/>
    </xf>
    <xf numFmtId="0" fontId="16" fillId="0" borderId="40" applyNumberFormat="0" applyFill="0" applyAlignment="0" applyProtection="0">
      <alignment vertical="center"/>
    </xf>
    <xf numFmtId="0" fontId="16" fillId="0" borderId="40" applyNumberFormat="0" applyFill="0" applyAlignment="0" applyProtection="0">
      <alignment vertical="center"/>
    </xf>
    <xf numFmtId="0" fontId="16" fillId="0" borderId="40" applyNumberFormat="0" applyFill="0" applyAlignment="0" applyProtection="0">
      <alignment vertical="center"/>
    </xf>
    <xf numFmtId="0" fontId="16" fillId="0" borderId="40" applyNumberFormat="0" applyFill="0" applyAlignment="0" applyProtection="0">
      <alignment vertical="center"/>
    </xf>
    <xf numFmtId="0" fontId="16" fillId="0" borderId="40" applyNumberFormat="0" applyFill="0" applyAlignment="0" applyProtection="0">
      <alignment vertical="center"/>
    </xf>
    <xf numFmtId="0" fontId="16" fillId="0" borderId="40" applyNumberFormat="0" applyFill="0" applyAlignment="0" applyProtection="0">
      <alignment vertical="center"/>
    </xf>
    <xf numFmtId="0" fontId="16" fillId="0" borderId="40" applyNumberFormat="0" applyFill="0" applyAlignment="0" applyProtection="0">
      <alignment vertical="center"/>
    </xf>
    <xf numFmtId="0" fontId="16" fillId="0" borderId="40" applyNumberFormat="0" applyFill="0" applyAlignment="0" applyProtection="0">
      <alignment vertical="center"/>
    </xf>
    <xf numFmtId="0" fontId="16" fillId="0" borderId="40" applyNumberFormat="0" applyFill="0" applyAlignment="0" applyProtection="0">
      <alignment vertical="center"/>
    </xf>
    <xf numFmtId="0" fontId="16" fillId="0" borderId="40" applyNumberFormat="0" applyFill="0" applyAlignment="0" applyProtection="0">
      <alignment vertical="center"/>
    </xf>
    <xf numFmtId="0" fontId="16" fillId="0" borderId="40" applyNumberFormat="0" applyFill="0" applyAlignment="0" applyProtection="0">
      <alignment vertical="center"/>
    </xf>
    <xf numFmtId="0" fontId="16" fillId="0" borderId="40" applyNumberFormat="0" applyFill="0" applyAlignment="0" applyProtection="0">
      <alignment vertical="center"/>
    </xf>
    <xf numFmtId="0" fontId="16" fillId="0" borderId="40" applyNumberFormat="0" applyFill="0" applyAlignment="0" applyProtection="0">
      <alignment vertical="center"/>
    </xf>
    <xf numFmtId="0" fontId="16" fillId="0" borderId="40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41" applyNumberFormat="0" applyAlignment="0" applyProtection="0">
      <alignment vertical="center"/>
    </xf>
    <xf numFmtId="0" fontId="18" fillId="30" borderId="41" applyNumberFormat="0" applyAlignment="0" applyProtection="0">
      <alignment vertical="center"/>
    </xf>
    <xf numFmtId="0" fontId="18" fillId="30" borderId="41" applyNumberFormat="0" applyAlignment="0" applyProtection="0">
      <alignment vertical="center"/>
    </xf>
    <xf numFmtId="0" fontId="18" fillId="30" borderId="41" applyNumberFormat="0" applyAlignment="0" applyProtection="0">
      <alignment vertical="center"/>
    </xf>
    <xf numFmtId="0" fontId="18" fillId="30" borderId="41" applyNumberFormat="0" applyAlignment="0" applyProtection="0">
      <alignment vertical="center"/>
    </xf>
    <xf numFmtId="0" fontId="18" fillId="30" borderId="41" applyNumberFormat="0" applyAlignment="0" applyProtection="0">
      <alignment vertical="center"/>
    </xf>
    <xf numFmtId="0" fontId="18" fillId="30" borderId="41" applyNumberFormat="0" applyAlignment="0" applyProtection="0">
      <alignment vertical="center"/>
    </xf>
    <xf numFmtId="0" fontId="18" fillId="30" borderId="41" applyNumberFormat="0" applyAlignment="0" applyProtection="0">
      <alignment vertical="center"/>
    </xf>
    <xf numFmtId="0" fontId="18" fillId="30" borderId="41" applyNumberFormat="0" applyAlignment="0" applyProtection="0">
      <alignment vertical="center"/>
    </xf>
    <xf numFmtId="0" fontId="18" fillId="30" borderId="41" applyNumberFormat="0" applyAlignment="0" applyProtection="0">
      <alignment vertical="center"/>
    </xf>
    <xf numFmtId="0" fontId="18" fillId="30" borderId="41" applyNumberFormat="0" applyAlignment="0" applyProtection="0">
      <alignment vertical="center"/>
    </xf>
    <xf numFmtId="0" fontId="18" fillId="30" borderId="41" applyNumberFormat="0" applyAlignment="0" applyProtection="0">
      <alignment vertical="center"/>
    </xf>
    <xf numFmtId="0" fontId="18" fillId="30" borderId="41" applyNumberFormat="0" applyAlignment="0" applyProtection="0">
      <alignment vertical="center"/>
    </xf>
    <xf numFmtId="0" fontId="18" fillId="30" borderId="41" applyNumberFormat="0" applyAlignment="0" applyProtection="0">
      <alignment vertical="center"/>
    </xf>
    <xf numFmtId="0" fontId="18" fillId="30" borderId="41" applyNumberFormat="0" applyAlignment="0" applyProtection="0">
      <alignment vertical="center"/>
    </xf>
    <xf numFmtId="0" fontId="18" fillId="30" borderId="4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1" borderId="41" applyNumberFormat="0" applyAlignment="0" applyProtection="0">
      <alignment vertical="center"/>
    </xf>
    <xf numFmtId="0" fontId="26" fillId="31" borderId="41" applyNumberFormat="0" applyAlignment="0" applyProtection="0">
      <alignment vertical="center"/>
    </xf>
    <xf numFmtId="0" fontId="26" fillId="31" borderId="41" applyNumberFormat="0" applyAlignment="0" applyProtection="0">
      <alignment vertical="center"/>
    </xf>
    <xf numFmtId="0" fontId="26" fillId="31" borderId="41" applyNumberFormat="0" applyAlignment="0" applyProtection="0">
      <alignment vertical="center"/>
    </xf>
    <xf numFmtId="0" fontId="26" fillId="31" borderId="41" applyNumberFormat="0" applyAlignment="0" applyProtection="0">
      <alignment vertical="center"/>
    </xf>
    <xf numFmtId="0" fontId="26" fillId="31" borderId="41" applyNumberFormat="0" applyAlignment="0" applyProtection="0">
      <alignment vertical="center"/>
    </xf>
    <xf numFmtId="0" fontId="26" fillId="31" borderId="41" applyNumberFormat="0" applyAlignment="0" applyProtection="0">
      <alignment vertical="center"/>
    </xf>
    <xf numFmtId="0" fontId="26" fillId="31" borderId="41" applyNumberFormat="0" applyAlignment="0" applyProtection="0">
      <alignment vertical="center"/>
    </xf>
    <xf numFmtId="0" fontId="26" fillId="31" borderId="41" applyNumberFormat="0" applyAlignment="0" applyProtection="0">
      <alignment vertical="center"/>
    </xf>
    <xf numFmtId="0" fontId="26" fillId="31" borderId="41" applyNumberFormat="0" applyAlignment="0" applyProtection="0">
      <alignment vertical="center"/>
    </xf>
    <xf numFmtId="0" fontId="26" fillId="31" borderId="41" applyNumberFormat="0" applyAlignment="0" applyProtection="0">
      <alignment vertical="center"/>
    </xf>
    <xf numFmtId="0" fontId="26" fillId="31" borderId="41" applyNumberFormat="0" applyAlignment="0" applyProtection="0">
      <alignment vertical="center"/>
    </xf>
    <xf numFmtId="0" fontId="26" fillId="31" borderId="41" applyNumberFormat="0" applyAlignment="0" applyProtection="0">
      <alignment vertical="center"/>
    </xf>
    <xf numFmtId="0" fontId="26" fillId="31" borderId="41" applyNumberFormat="0" applyAlignment="0" applyProtection="0">
      <alignment vertical="center"/>
    </xf>
    <xf numFmtId="0" fontId="26" fillId="31" borderId="41" applyNumberFormat="0" applyAlignment="0" applyProtection="0">
      <alignment vertical="center"/>
    </xf>
    <xf numFmtId="0" fontId="26" fillId="31" borderId="41" applyNumberFormat="0" applyAlignment="0" applyProtection="0">
      <alignment vertical="center"/>
    </xf>
    <xf numFmtId="0" fontId="3" fillId="0" borderId="0"/>
    <xf numFmtId="0" fontId="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/>
    <xf numFmtId="0" fontId="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>
      <alignment vertical="center"/>
    </xf>
    <xf numFmtId="0" fontId="3" fillId="0" borderId="0"/>
    <xf numFmtId="0" fontId="3" fillId="0" borderId="0"/>
    <xf numFmtId="0" fontId="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/>
    <xf numFmtId="0" fontId="3" fillId="0" borderId="0"/>
    <xf numFmtId="0" fontId="10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/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11" fillId="0" borderId="0" xfId="0" applyFont="1">
      <alignment vertical="center"/>
    </xf>
    <xf numFmtId="0" fontId="0" fillId="0" borderId="0" xfId="0" applyAlignment="1"/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8" fillId="0" borderId="0" xfId="0" applyFont="1">
      <alignment vertical="center"/>
    </xf>
    <xf numFmtId="0" fontId="0" fillId="34" borderId="0" xfId="0" applyFill="1">
      <alignment vertical="center"/>
    </xf>
    <xf numFmtId="0" fontId="29" fillId="0" borderId="0" xfId="0" applyFont="1">
      <alignment vertical="center"/>
    </xf>
    <xf numFmtId="0" fontId="30" fillId="34" borderId="24" xfId="0" applyFont="1" applyFill="1" applyBorder="1">
      <alignment vertical="center"/>
    </xf>
    <xf numFmtId="0" fontId="30" fillId="34" borderId="25" xfId="0" applyFont="1" applyFill="1" applyBorder="1">
      <alignment vertical="center"/>
    </xf>
    <xf numFmtId="0" fontId="30" fillId="34" borderId="26" xfId="0" applyFont="1" applyFill="1" applyBorder="1">
      <alignment vertical="center"/>
    </xf>
    <xf numFmtId="0" fontId="30" fillId="34" borderId="27" xfId="0" applyFont="1" applyFill="1" applyBorder="1">
      <alignment vertical="center"/>
    </xf>
    <xf numFmtId="0" fontId="30" fillId="34" borderId="28" xfId="0" applyFont="1" applyFill="1" applyBorder="1">
      <alignment vertical="center"/>
    </xf>
    <xf numFmtId="0" fontId="30" fillId="34" borderId="29" xfId="0" applyFont="1" applyFill="1" applyBorder="1">
      <alignment vertical="center"/>
    </xf>
    <xf numFmtId="0" fontId="30" fillId="34" borderId="30" xfId="0" applyFont="1" applyFill="1" applyBorder="1">
      <alignment vertical="center"/>
    </xf>
    <xf numFmtId="0" fontId="30" fillId="35" borderId="31" xfId="0" applyFont="1" applyFill="1" applyBorder="1">
      <alignment vertical="center"/>
    </xf>
    <xf numFmtId="0" fontId="30" fillId="35" borderId="25" xfId="0" applyFont="1" applyFill="1" applyBorder="1">
      <alignment vertical="center"/>
    </xf>
    <xf numFmtId="0" fontId="30" fillId="36" borderId="25" xfId="0" applyFont="1" applyFill="1" applyBorder="1">
      <alignment vertical="center"/>
    </xf>
    <xf numFmtId="2" fontId="30" fillId="35" borderId="25" xfId="0" applyNumberFormat="1" applyFont="1" applyFill="1" applyBorder="1">
      <alignment vertical="center"/>
    </xf>
    <xf numFmtId="177" fontId="30" fillId="36" borderId="25" xfId="0" applyNumberFormat="1" applyFont="1" applyFill="1" applyBorder="1">
      <alignment vertical="center"/>
    </xf>
    <xf numFmtId="177" fontId="30" fillId="37" borderId="25" xfId="0" applyNumberFormat="1" applyFont="1" applyFill="1" applyBorder="1">
      <alignment vertical="center"/>
    </xf>
    <xf numFmtId="0" fontId="30" fillId="37" borderId="25" xfId="0" applyFont="1" applyFill="1" applyBorder="1">
      <alignment vertical="center"/>
    </xf>
    <xf numFmtId="177" fontId="30" fillId="35" borderId="25" xfId="0" applyNumberFormat="1" applyFont="1" applyFill="1" applyBorder="1">
      <alignment vertical="center"/>
    </xf>
    <xf numFmtId="177" fontId="30" fillId="35" borderId="26" xfId="0" applyNumberFormat="1" applyFont="1" applyFill="1" applyBorder="1">
      <alignment vertical="center"/>
    </xf>
    <xf numFmtId="0" fontId="30" fillId="35" borderId="32" xfId="0" applyFont="1" applyFill="1" applyBorder="1">
      <alignment vertical="center"/>
    </xf>
    <xf numFmtId="0" fontId="30" fillId="35" borderId="0" xfId="0" applyFont="1" applyFill="1">
      <alignment vertical="center"/>
    </xf>
    <xf numFmtId="0" fontId="30" fillId="36" borderId="0" xfId="0" applyFont="1" applyFill="1">
      <alignment vertical="center"/>
    </xf>
    <xf numFmtId="2" fontId="30" fillId="35" borderId="0" xfId="0" applyNumberFormat="1" applyFont="1" applyFill="1">
      <alignment vertical="center"/>
    </xf>
    <xf numFmtId="177" fontId="30" fillId="36" borderId="0" xfId="0" applyNumberFormat="1" applyFont="1" applyFill="1">
      <alignment vertical="center"/>
    </xf>
    <xf numFmtId="177" fontId="30" fillId="37" borderId="0" xfId="0" applyNumberFormat="1" applyFont="1" applyFill="1">
      <alignment vertical="center"/>
    </xf>
    <xf numFmtId="0" fontId="30" fillId="37" borderId="0" xfId="0" applyFont="1" applyFill="1">
      <alignment vertical="center"/>
    </xf>
    <xf numFmtId="177" fontId="30" fillId="35" borderId="0" xfId="0" applyNumberFormat="1" applyFont="1" applyFill="1">
      <alignment vertical="center"/>
    </xf>
    <xf numFmtId="177" fontId="30" fillId="35" borderId="33" xfId="0" applyNumberFormat="1" applyFont="1" applyFill="1" applyBorder="1">
      <alignment vertical="center"/>
    </xf>
    <xf numFmtId="0" fontId="30" fillId="35" borderId="34" xfId="0" applyFont="1" applyFill="1" applyBorder="1">
      <alignment vertical="center"/>
    </xf>
    <xf numFmtId="0" fontId="30" fillId="35" borderId="28" xfId="0" applyFont="1" applyFill="1" applyBorder="1">
      <alignment vertical="center"/>
    </xf>
    <xf numFmtId="0" fontId="30" fillId="36" borderId="28" xfId="0" applyFont="1" applyFill="1" applyBorder="1">
      <alignment vertical="center"/>
    </xf>
    <xf numFmtId="2" fontId="30" fillId="35" borderId="28" xfId="0" applyNumberFormat="1" applyFont="1" applyFill="1" applyBorder="1">
      <alignment vertical="center"/>
    </xf>
    <xf numFmtId="177" fontId="30" fillId="36" borderId="28" xfId="0" applyNumberFormat="1" applyFont="1" applyFill="1" applyBorder="1">
      <alignment vertical="center"/>
    </xf>
    <xf numFmtId="177" fontId="30" fillId="37" borderId="28" xfId="0" applyNumberFormat="1" applyFont="1" applyFill="1" applyBorder="1">
      <alignment vertical="center"/>
    </xf>
    <xf numFmtId="0" fontId="30" fillId="37" borderId="28" xfId="0" applyFont="1" applyFill="1" applyBorder="1">
      <alignment vertical="center"/>
    </xf>
    <xf numFmtId="177" fontId="30" fillId="35" borderId="28" xfId="0" applyNumberFormat="1" applyFont="1" applyFill="1" applyBorder="1">
      <alignment vertical="center"/>
    </xf>
    <xf numFmtId="177" fontId="30" fillId="35" borderId="29" xfId="0" applyNumberFormat="1" applyFont="1" applyFill="1" applyBorder="1">
      <alignment vertical="center"/>
    </xf>
    <xf numFmtId="0" fontId="30" fillId="0" borderId="0" xfId="0" applyFont="1">
      <alignment vertical="center"/>
    </xf>
    <xf numFmtId="0" fontId="30" fillId="0" borderId="37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30" fillId="0" borderId="6" xfId="0" applyFont="1" applyBorder="1" applyAlignment="1">
      <alignment vertical="center" wrapText="1"/>
    </xf>
    <xf numFmtId="0" fontId="30" fillId="0" borderId="19" xfId="0" applyFont="1" applyBorder="1" applyAlignment="1">
      <alignment vertical="center" wrapText="1"/>
    </xf>
    <xf numFmtId="0" fontId="30" fillId="0" borderId="5" xfId="0" applyFont="1" applyBorder="1" applyAlignment="1">
      <alignment vertical="center" wrapText="1"/>
    </xf>
    <xf numFmtId="0" fontId="30" fillId="0" borderId="5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30" fillId="34" borderId="34" xfId="0" applyFont="1" applyFill="1" applyBorder="1">
      <alignment vertical="center"/>
    </xf>
    <xf numFmtId="0" fontId="30" fillId="0" borderId="20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13" xfId="0" applyFont="1" applyBorder="1" applyAlignment="1"/>
    <xf numFmtId="0" fontId="30" fillId="0" borderId="14" xfId="0" applyFont="1" applyBorder="1" applyAlignment="1"/>
    <xf numFmtId="0" fontId="30" fillId="0" borderId="15" xfId="0" applyFont="1" applyBorder="1" applyAlignment="1"/>
    <xf numFmtId="177" fontId="30" fillId="0" borderId="21" xfId="0" applyNumberFormat="1" applyFont="1" applyBorder="1" applyAlignment="1">
      <alignment vertical="center"/>
    </xf>
    <xf numFmtId="177" fontId="30" fillId="0" borderId="14" xfId="0" applyNumberFormat="1" applyFont="1" applyFill="1" applyBorder="1" applyAlignment="1">
      <alignment vertical="center"/>
    </xf>
    <xf numFmtId="177" fontId="30" fillId="0" borderId="14" xfId="0" applyNumberFormat="1" applyFont="1" applyBorder="1" applyAlignment="1">
      <alignment vertical="center"/>
    </xf>
    <xf numFmtId="177" fontId="30" fillId="0" borderId="14" xfId="0" applyNumberFormat="1" applyFont="1" applyBorder="1" applyAlignment="1"/>
    <xf numFmtId="177" fontId="30" fillId="0" borderId="14" xfId="0" applyNumberFormat="1" applyFont="1" applyBorder="1">
      <alignment vertical="center"/>
    </xf>
    <xf numFmtId="2" fontId="30" fillId="0" borderId="14" xfId="0" applyNumberFormat="1" applyFont="1" applyBorder="1" applyAlignment="1"/>
    <xf numFmtId="2" fontId="30" fillId="0" borderId="15" xfId="0" applyNumberFormat="1" applyFont="1" applyBorder="1">
      <alignment vertical="center"/>
    </xf>
    <xf numFmtId="0" fontId="30" fillId="0" borderId="7" xfId="0" applyFont="1" applyBorder="1" applyAlignment="1"/>
    <xf numFmtId="0" fontId="30" fillId="0" borderId="8" xfId="0" applyFont="1" applyBorder="1" applyAlignment="1"/>
    <xf numFmtId="0" fontId="30" fillId="0" borderId="9" xfId="0" applyFont="1" applyBorder="1" applyAlignment="1"/>
    <xf numFmtId="177" fontId="30" fillId="0" borderId="22" xfId="0" applyNumberFormat="1" applyFont="1" applyBorder="1" applyAlignment="1">
      <alignment vertical="center"/>
    </xf>
    <xf numFmtId="177" fontId="30" fillId="0" borderId="8" xfId="0" applyNumberFormat="1" applyFont="1" applyFill="1" applyBorder="1" applyAlignment="1">
      <alignment vertical="center"/>
    </xf>
    <xf numFmtId="177" fontId="30" fillId="0" borderId="8" xfId="0" applyNumberFormat="1" applyFont="1" applyBorder="1" applyAlignment="1">
      <alignment vertical="center"/>
    </xf>
    <xf numFmtId="177" fontId="30" fillId="0" borderId="8" xfId="0" applyNumberFormat="1" applyFont="1" applyBorder="1" applyAlignment="1"/>
    <xf numFmtId="177" fontId="30" fillId="0" borderId="8" xfId="0" applyNumberFormat="1" applyFont="1" applyBorder="1">
      <alignment vertical="center"/>
    </xf>
    <xf numFmtId="2" fontId="30" fillId="0" borderId="8" xfId="0" applyNumberFormat="1" applyFont="1" applyBorder="1" applyAlignment="1"/>
    <xf numFmtId="2" fontId="30" fillId="0" borderId="9" xfId="0" applyNumberFormat="1" applyFont="1" applyBorder="1">
      <alignment vertical="center"/>
    </xf>
    <xf numFmtId="0" fontId="33" fillId="0" borderId="35" xfId="594" applyFont="1" applyFill="1" applyBorder="1" applyAlignment="1">
      <alignment horizontal="left" vertical="center"/>
    </xf>
    <xf numFmtId="176" fontId="34" fillId="0" borderId="2" xfId="594" applyNumberFormat="1" applyFont="1" applyBorder="1" applyAlignment="1">
      <alignment horizontal="center" vertical="center"/>
    </xf>
    <xf numFmtId="0" fontId="33" fillId="0" borderId="1" xfId="594" applyFont="1" applyFill="1" applyBorder="1" applyAlignment="1">
      <alignment horizontal="left" vertical="center"/>
    </xf>
    <xf numFmtId="2" fontId="34" fillId="0" borderId="3" xfId="594" applyNumberFormat="1" applyFont="1" applyBorder="1" applyAlignment="1">
      <alignment horizontal="center" vertical="center"/>
    </xf>
    <xf numFmtId="0" fontId="33" fillId="0" borderId="1" xfId="852" applyFont="1" applyFill="1" applyBorder="1" applyAlignment="1">
      <alignment horizontal="left" vertical="center"/>
    </xf>
    <xf numFmtId="0" fontId="34" fillId="0" borderId="3" xfId="0" applyFont="1" applyBorder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0" fontId="37" fillId="0" borderId="3" xfId="0" applyFont="1" applyBorder="1" applyAlignment="1">
      <alignment horizontal="center" vertical="center"/>
    </xf>
    <xf numFmtId="0" fontId="33" fillId="0" borderId="36" xfId="594" applyFont="1" applyFill="1" applyBorder="1" applyAlignment="1">
      <alignment horizontal="left" vertical="center"/>
    </xf>
    <xf numFmtId="2" fontId="34" fillId="0" borderId="4" xfId="0" applyNumberFormat="1" applyFont="1" applyBorder="1" applyAlignment="1">
      <alignment horizontal="center" vertical="center"/>
    </xf>
    <xf numFmtId="177" fontId="30" fillId="0" borderId="0" xfId="0" applyNumberFormat="1" applyFont="1">
      <alignment vertical="center"/>
    </xf>
    <xf numFmtId="0" fontId="30" fillId="33" borderId="7" xfId="0" applyFont="1" applyFill="1" applyBorder="1" applyAlignment="1"/>
    <xf numFmtId="0" fontId="30" fillId="33" borderId="8" xfId="0" applyFont="1" applyFill="1" applyBorder="1" applyAlignment="1"/>
    <xf numFmtId="0" fontId="30" fillId="33" borderId="9" xfId="0" applyFont="1" applyFill="1" applyBorder="1" applyAlignment="1"/>
    <xf numFmtId="177" fontId="30" fillId="33" borderId="22" xfId="0" applyNumberFormat="1" applyFont="1" applyFill="1" applyBorder="1" applyAlignment="1">
      <alignment vertical="center"/>
    </xf>
    <xf numFmtId="177" fontId="30" fillId="33" borderId="8" xfId="0" applyNumberFormat="1" applyFont="1" applyFill="1" applyBorder="1" applyAlignment="1">
      <alignment vertical="center"/>
    </xf>
    <xf numFmtId="177" fontId="30" fillId="33" borderId="8" xfId="0" applyNumberFormat="1" applyFont="1" applyFill="1" applyBorder="1" applyAlignment="1"/>
    <xf numFmtId="177" fontId="30" fillId="33" borderId="8" xfId="0" applyNumberFormat="1" applyFont="1" applyFill="1" applyBorder="1">
      <alignment vertical="center"/>
    </xf>
    <xf numFmtId="2" fontId="30" fillId="33" borderId="8" xfId="0" applyNumberFormat="1" applyFont="1" applyFill="1" applyBorder="1" applyAlignment="1"/>
    <xf numFmtId="2" fontId="30" fillId="33" borderId="9" xfId="0" applyNumberFormat="1" applyFont="1" applyFill="1" applyBorder="1">
      <alignment vertical="center"/>
    </xf>
    <xf numFmtId="177" fontId="30" fillId="0" borderId="22" xfId="0" applyNumberFormat="1" applyFont="1" applyBorder="1">
      <alignment vertical="center"/>
    </xf>
    <xf numFmtId="177" fontId="30" fillId="0" borderId="8" xfId="0" applyNumberFormat="1" applyFont="1" applyFill="1" applyBorder="1">
      <alignment vertical="center"/>
    </xf>
    <xf numFmtId="0" fontId="30" fillId="0" borderId="10" xfId="0" applyFont="1" applyBorder="1" applyAlignment="1"/>
    <xf numFmtId="0" fontId="30" fillId="0" borderId="11" xfId="0" applyFont="1" applyBorder="1" applyAlignment="1"/>
    <xf numFmtId="0" fontId="30" fillId="0" borderId="12" xfId="0" applyFont="1" applyBorder="1" applyAlignment="1"/>
    <xf numFmtId="177" fontId="30" fillId="0" borderId="23" xfId="0" applyNumberFormat="1" applyFont="1" applyBorder="1">
      <alignment vertical="center"/>
    </xf>
    <xf numFmtId="177" fontId="30" fillId="0" borderId="11" xfId="0" applyNumberFormat="1" applyFont="1" applyFill="1" applyBorder="1">
      <alignment vertical="center"/>
    </xf>
    <xf numFmtId="177" fontId="30" fillId="0" borderId="11" xfId="0" applyNumberFormat="1" applyFont="1" applyBorder="1">
      <alignment vertical="center"/>
    </xf>
    <xf numFmtId="177" fontId="30" fillId="0" borderId="11" xfId="0" applyNumberFormat="1" applyFont="1" applyBorder="1" applyAlignment="1"/>
    <xf numFmtId="2" fontId="30" fillId="0" borderId="11" xfId="0" applyNumberFormat="1" applyFont="1" applyBorder="1" applyAlignment="1"/>
    <xf numFmtId="2" fontId="30" fillId="0" borderId="12" xfId="0" applyNumberFormat="1" applyFont="1" applyBorder="1">
      <alignment vertical="center"/>
    </xf>
    <xf numFmtId="177" fontId="30" fillId="0" borderId="0" xfId="0" applyNumberFormat="1" applyFont="1" applyFill="1">
      <alignment vertical="center"/>
    </xf>
    <xf numFmtId="0" fontId="30" fillId="0" borderId="0" xfId="0" applyFont="1" applyFill="1">
      <alignment vertical="center"/>
    </xf>
  </cellXfs>
  <cellStyles count="953">
    <cellStyle name="20% - アクセント 1 2" xfId="1" xr:uid="{00000000-0005-0000-0000-000000000000}"/>
    <cellStyle name="20% - アクセント 1 2 2" xfId="2" xr:uid="{00000000-0005-0000-0000-000001000000}"/>
    <cellStyle name="20% - アクセント 1 2 3" xfId="3" xr:uid="{00000000-0005-0000-0000-000002000000}"/>
    <cellStyle name="20% - アクセント 1 2 4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1 6" xfId="8" xr:uid="{00000000-0005-0000-0000-000007000000}"/>
    <cellStyle name="20% - アクセント 1 7" xfId="9" xr:uid="{00000000-0005-0000-0000-000008000000}"/>
    <cellStyle name="20% - アクセント 2 2" xfId="10" xr:uid="{00000000-0005-0000-0000-000009000000}"/>
    <cellStyle name="20% - アクセント 2 2 2" xfId="11" xr:uid="{00000000-0005-0000-0000-00000A000000}"/>
    <cellStyle name="20% - アクセント 2 2 3" xfId="12" xr:uid="{00000000-0005-0000-0000-00000B000000}"/>
    <cellStyle name="20% - アクセント 2 2 4" xfId="13" xr:uid="{00000000-0005-0000-0000-00000C000000}"/>
    <cellStyle name="20% - アクセント 2 3" xfId="14" xr:uid="{00000000-0005-0000-0000-00000D000000}"/>
    <cellStyle name="20% - アクセント 2 4" xfId="15" xr:uid="{00000000-0005-0000-0000-00000E000000}"/>
    <cellStyle name="20% - アクセント 2 5" xfId="16" xr:uid="{00000000-0005-0000-0000-00000F000000}"/>
    <cellStyle name="20% - アクセント 2 6" xfId="17" xr:uid="{00000000-0005-0000-0000-000010000000}"/>
    <cellStyle name="20% - アクセント 2 7" xfId="18" xr:uid="{00000000-0005-0000-0000-000011000000}"/>
    <cellStyle name="20% - アクセント 3 2" xfId="19" xr:uid="{00000000-0005-0000-0000-000012000000}"/>
    <cellStyle name="20% - アクセント 3 2 2" xfId="20" xr:uid="{00000000-0005-0000-0000-000013000000}"/>
    <cellStyle name="20% - アクセント 3 2 3" xfId="21" xr:uid="{00000000-0005-0000-0000-000014000000}"/>
    <cellStyle name="20% - アクセント 3 2 4" xfId="22" xr:uid="{00000000-0005-0000-0000-000015000000}"/>
    <cellStyle name="20% - アクセント 3 3" xfId="23" xr:uid="{00000000-0005-0000-0000-000016000000}"/>
    <cellStyle name="20% - アクセント 3 4" xfId="24" xr:uid="{00000000-0005-0000-0000-000017000000}"/>
    <cellStyle name="20% - アクセント 3 5" xfId="25" xr:uid="{00000000-0005-0000-0000-000018000000}"/>
    <cellStyle name="20% - アクセント 3 6" xfId="26" xr:uid="{00000000-0005-0000-0000-000019000000}"/>
    <cellStyle name="20% - アクセント 3 7" xfId="27" xr:uid="{00000000-0005-0000-0000-00001A000000}"/>
    <cellStyle name="20% - アクセント 4 2" xfId="28" xr:uid="{00000000-0005-0000-0000-00001B000000}"/>
    <cellStyle name="20% - アクセント 4 2 2" xfId="29" xr:uid="{00000000-0005-0000-0000-00001C000000}"/>
    <cellStyle name="20% - アクセント 4 2 3" xfId="30" xr:uid="{00000000-0005-0000-0000-00001D000000}"/>
    <cellStyle name="20% - アクセント 4 2 4" xfId="31" xr:uid="{00000000-0005-0000-0000-00001E000000}"/>
    <cellStyle name="20% - アクセント 4 3" xfId="32" xr:uid="{00000000-0005-0000-0000-00001F000000}"/>
    <cellStyle name="20% - アクセント 4 4" xfId="33" xr:uid="{00000000-0005-0000-0000-000020000000}"/>
    <cellStyle name="20% - アクセント 4 5" xfId="34" xr:uid="{00000000-0005-0000-0000-000021000000}"/>
    <cellStyle name="20% - アクセント 4 6" xfId="35" xr:uid="{00000000-0005-0000-0000-000022000000}"/>
    <cellStyle name="20% - アクセント 4 7" xfId="36" xr:uid="{00000000-0005-0000-0000-000023000000}"/>
    <cellStyle name="20% - アクセント 5 2" xfId="37" xr:uid="{00000000-0005-0000-0000-000024000000}"/>
    <cellStyle name="20% - アクセント 5 2 2" xfId="38" xr:uid="{00000000-0005-0000-0000-000025000000}"/>
    <cellStyle name="20% - アクセント 5 2 3" xfId="39" xr:uid="{00000000-0005-0000-0000-000026000000}"/>
    <cellStyle name="20% - アクセント 5 2 4" xfId="40" xr:uid="{00000000-0005-0000-0000-000027000000}"/>
    <cellStyle name="20% - アクセント 5 3" xfId="41" xr:uid="{00000000-0005-0000-0000-000028000000}"/>
    <cellStyle name="20% - アクセント 5 4" xfId="42" xr:uid="{00000000-0005-0000-0000-000029000000}"/>
    <cellStyle name="20% - アクセント 5 5" xfId="43" xr:uid="{00000000-0005-0000-0000-00002A000000}"/>
    <cellStyle name="20% - アクセント 5 6" xfId="44" xr:uid="{00000000-0005-0000-0000-00002B000000}"/>
    <cellStyle name="20% - アクセント 5 7" xfId="45" xr:uid="{00000000-0005-0000-0000-00002C000000}"/>
    <cellStyle name="20% - アクセント 6 2" xfId="46" xr:uid="{00000000-0005-0000-0000-00002D000000}"/>
    <cellStyle name="20% - アクセント 6 2 2" xfId="47" xr:uid="{00000000-0005-0000-0000-00002E000000}"/>
    <cellStyle name="20% - アクセント 6 2 3" xfId="48" xr:uid="{00000000-0005-0000-0000-00002F000000}"/>
    <cellStyle name="20% - アクセント 6 2 4" xfId="49" xr:uid="{00000000-0005-0000-0000-000030000000}"/>
    <cellStyle name="20% - アクセント 6 3" xfId="50" xr:uid="{00000000-0005-0000-0000-000031000000}"/>
    <cellStyle name="20% - アクセント 6 4" xfId="51" xr:uid="{00000000-0005-0000-0000-000032000000}"/>
    <cellStyle name="20% - アクセント 6 5" xfId="52" xr:uid="{00000000-0005-0000-0000-000033000000}"/>
    <cellStyle name="20% - アクセント 6 6" xfId="53" xr:uid="{00000000-0005-0000-0000-000034000000}"/>
    <cellStyle name="20% - アクセント 6 7" xfId="54" xr:uid="{00000000-0005-0000-0000-000035000000}"/>
    <cellStyle name="40% - アクセント 1 2" xfId="55" xr:uid="{00000000-0005-0000-0000-000036000000}"/>
    <cellStyle name="40% - アクセント 1 2 2" xfId="56" xr:uid="{00000000-0005-0000-0000-000037000000}"/>
    <cellStyle name="40% - アクセント 1 2 3" xfId="57" xr:uid="{00000000-0005-0000-0000-000038000000}"/>
    <cellStyle name="40% - アクセント 1 2 4" xfId="58" xr:uid="{00000000-0005-0000-0000-000039000000}"/>
    <cellStyle name="40% - アクセント 1 3" xfId="59" xr:uid="{00000000-0005-0000-0000-00003A000000}"/>
    <cellStyle name="40% - アクセント 1 4" xfId="60" xr:uid="{00000000-0005-0000-0000-00003B000000}"/>
    <cellStyle name="40% - アクセント 1 5" xfId="61" xr:uid="{00000000-0005-0000-0000-00003C000000}"/>
    <cellStyle name="40% - アクセント 1 6" xfId="62" xr:uid="{00000000-0005-0000-0000-00003D000000}"/>
    <cellStyle name="40% - アクセント 1 7" xfId="63" xr:uid="{00000000-0005-0000-0000-00003E000000}"/>
    <cellStyle name="40% - アクセント 2 2" xfId="64" xr:uid="{00000000-0005-0000-0000-00003F000000}"/>
    <cellStyle name="40% - アクセント 2 2 2" xfId="65" xr:uid="{00000000-0005-0000-0000-000040000000}"/>
    <cellStyle name="40% - アクセント 2 2 3" xfId="66" xr:uid="{00000000-0005-0000-0000-000041000000}"/>
    <cellStyle name="40% - アクセント 2 2 4" xfId="67" xr:uid="{00000000-0005-0000-0000-000042000000}"/>
    <cellStyle name="40% - アクセント 2 3" xfId="68" xr:uid="{00000000-0005-0000-0000-000043000000}"/>
    <cellStyle name="40% - アクセント 2 4" xfId="69" xr:uid="{00000000-0005-0000-0000-000044000000}"/>
    <cellStyle name="40% - アクセント 2 5" xfId="70" xr:uid="{00000000-0005-0000-0000-000045000000}"/>
    <cellStyle name="40% - アクセント 2 6" xfId="71" xr:uid="{00000000-0005-0000-0000-000046000000}"/>
    <cellStyle name="40% - アクセント 2 7" xfId="72" xr:uid="{00000000-0005-0000-0000-000047000000}"/>
    <cellStyle name="40% - アクセント 3 2" xfId="73" xr:uid="{00000000-0005-0000-0000-000048000000}"/>
    <cellStyle name="40% - アクセント 3 2 2" xfId="74" xr:uid="{00000000-0005-0000-0000-000049000000}"/>
    <cellStyle name="40% - アクセント 3 2 3" xfId="75" xr:uid="{00000000-0005-0000-0000-00004A000000}"/>
    <cellStyle name="40% - アクセント 3 2 4" xfId="76" xr:uid="{00000000-0005-0000-0000-00004B000000}"/>
    <cellStyle name="40% - アクセント 3 3" xfId="77" xr:uid="{00000000-0005-0000-0000-00004C000000}"/>
    <cellStyle name="40% - アクセント 3 4" xfId="78" xr:uid="{00000000-0005-0000-0000-00004D000000}"/>
    <cellStyle name="40% - アクセント 3 5" xfId="79" xr:uid="{00000000-0005-0000-0000-00004E000000}"/>
    <cellStyle name="40% - アクセント 3 6" xfId="80" xr:uid="{00000000-0005-0000-0000-00004F000000}"/>
    <cellStyle name="40% - アクセント 3 7" xfId="81" xr:uid="{00000000-0005-0000-0000-000050000000}"/>
    <cellStyle name="40% - アクセント 4 2" xfId="82" xr:uid="{00000000-0005-0000-0000-000051000000}"/>
    <cellStyle name="40% - アクセント 4 2 2" xfId="83" xr:uid="{00000000-0005-0000-0000-000052000000}"/>
    <cellStyle name="40% - アクセント 4 2 3" xfId="84" xr:uid="{00000000-0005-0000-0000-000053000000}"/>
    <cellStyle name="40% - アクセント 4 2 4" xfId="85" xr:uid="{00000000-0005-0000-0000-000054000000}"/>
    <cellStyle name="40% - アクセント 4 3" xfId="86" xr:uid="{00000000-0005-0000-0000-000055000000}"/>
    <cellStyle name="40% - アクセント 4 4" xfId="87" xr:uid="{00000000-0005-0000-0000-000056000000}"/>
    <cellStyle name="40% - アクセント 4 5" xfId="88" xr:uid="{00000000-0005-0000-0000-000057000000}"/>
    <cellStyle name="40% - アクセント 4 6" xfId="89" xr:uid="{00000000-0005-0000-0000-000058000000}"/>
    <cellStyle name="40% - アクセント 4 7" xfId="90" xr:uid="{00000000-0005-0000-0000-000059000000}"/>
    <cellStyle name="40% - アクセント 5 2" xfId="91" xr:uid="{00000000-0005-0000-0000-00005A000000}"/>
    <cellStyle name="40% - アクセント 5 2 2" xfId="92" xr:uid="{00000000-0005-0000-0000-00005B000000}"/>
    <cellStyle name="40% - アクセント 5 2 3" xfId="93" xr:uid="{00000000-0005-0000-0000-00005C000000}"/>
    <cellStyle name="40% - アクセント 5 2 4" xfId="94" xr:uid="{00000000-0005-0000-0000-00005D000000}"/>
    <cellStyle name="40% - アクセント 5 3" xfId="95" xr:uid="{00000000-0005-0000-0000-00005E000000}"/>
    <cellStyle name="40% - アクセント 5 4" xfId="96" xr:uid="{00000000-0005-0000-0000-00005F000000}"/>
    <cellStyle name="40% - アクセント 5 5" xfId="97" xr:uid="{00000000-0005-0000-0000-000060000000}"/>
    <cellStyle name="40% - アクセント 5 6" xfId="98" xr:uid="{00000000-0005-0000-0000-000061000000}"/>
    <cellStyle name="40% - アクセント 5 7" xfId="99" xr:uid="{00000000-0005-0000-0000-000062000000}"/>
    <cellStyle name="40% - アクセント 6 2" xfId="100" xr:uid="{00000000-0005-0000-0000-000063000000}"/>
    <cellStyle name="40% - アクセント 6 2 2" xfId="101" xr:uid="{00000000-0005-0000-0000-000064000000}"/>
    <cellStyle name="40% - アクセント 6 2 3" xfId="102" xr:uid="{00000000-0005-0000-0000-000065000000}"/>
    <cellStyle name="40% - アクセント 6 2 4" xfId="103" xr:uid="{00000000-0005-0000-0000-000066000000}"/>
    <cellStyle name="40% - アクセント 6 3" xfId="104" xr:uid="{00000000-0005-0000-0000-000067000000}"/>
    <cellStyle name="40% - アクセント 6 4" xfId="105" xr:uid="{00000000-0005-0000-0000-000068000000}"/>
    <cellStyle name="40% - アクセント 6 5" xfId="106" xr:uid="{00000000-0005-0000-0000-000069000000}"/>
    <cellStyle name="40% - アクセント 6 6" xfId="107" xr:uid="{00000000-0005-0000-0000-00006A000000}"/>
    <cellStyle name="40% - アクセント 6 7" xfId="108" xr:uid="{00000000-0005-0000-0000-00006B000000}"/>
    <cellStyle name="60% - アクセント 1 2" xfId="109" xr:uid="{00000000-0005-0000-0000-00006C000000}"/>
    <cellStyle name="60% - アクセント 1 2 2" xfId="110" xr:uid="{00000000-0005-0000-0000-00006D000000}"/>
    <cellStyle name="60% - アクセント 1 2 3" xfId="111" xr:uid="{00000000-0005-0000-0000-00006E000000}"/>
    <cellStyle name="60% - アクセント 1 2 4" xfId="112" xr:uid="{00000000-0005-0000-0000-00006F000000}"/>
    <cellStyle name="60% - アクセント 1 2 5" xfId="113" xr:uid="{00000000-0005-0000-0000-000070000000}"/>
    <cellStyle name="60% - アクセント 1 2 6" xfId="114" xr:uid="{00000000-0005-0000-0000-000071000000}"/>
    <cellStyle name="60% - アクセント 1 2 7" xfId="115" xr:uid="{00000000-0005-0000-0000-000072000000}"/>
    <cellStyle name="60% - アクセント 1 2 8" xfId="116" xr:uid="{00000000-0005-0000-0000-000073000000}"/>
    <cellStyle name="60% - アクセント 1 2 9" xfId="117" xr:uid="{00000000-0005-0000-0000-000074000000}"/>
    <cellStyle name="60% - アクセント 1 3" xfId="118" xr:uid="{00000000-0005-0000-0000-000075000000}"/>
    <cellStyle name="60% - アクセント 1 4" xfId="119" xr:uid="{00000000-0005-0000-0000-000076000000}"/>
    <cellStyle name="60% - アクセント 1 5" xfId="120" xr:uid="{00000000-0005-0000-0000-000077000000}"/>
    <cellStyle name="60% - アクセント 1 6" xfId="121" xr:uid="{00000000-0005-0000-0000-000078000000}"/>
    <cellStyle name="60% - アクセント 1 7" xfId="122" xr:uid="{00000000-0005-0000-0000-000079000000}"/>
    <cellStyle name="60% - アクセント 1 8" xfId="123" xr:uid="{00000000-0005-0000-0000-00007A000000}"/>
    <cellStyle name="60% - アクセント 1 9" xfId="124" xr:uid="{00000000-0005-0000-0000-00007B000000}"/>
    <cellStyle name="60% - アクセント 2 2" xfId="125" xr:uid="{00000000-0005-0000-0000-00007C000000}"/>
    <cellStyle name="60% - アクセント 2 2 2" xfId="126" xr:uid="{00000000-0005-0000-0000-00007D000000}"/>
    <cellStyle name="60% - アクセント 2 2 3" xfId="127" xr:uid="{00000000-0005-0000-0000-00007E000000}"/>
    <cellStyle name="60% - アクセント 2 2 4" xfId="128" xr:uid="{00000000-0005-0000-0000-00007F000000}"/>
    <cellStyle name="60% - アクセント 2 2 5" xfId="129" xr:uid="{00000000-0005-0000-0000-000080000000}"/>
    <cellStyle name="60% - アクセント 2 2 6" xfId="130" xr:uid="{00000000-0005-0000-0000-000081000000}"/>
    <cellStyle name="60% - アクセント 2 2 7" xfId="131" xr:uid="{00000000-0005-0000-0000-000082000000}"/>
    <cellStyle name="60% - アクセント 2 2 8" xfId="132" xr:uid="{00000000-0005-0000-0000-000083000000}"/>
    <cellStyle name="60% - アクセント 2 2 9" xfId="133" xr:uid="{00000000-0005-0000-0000-000084000000}"/>
    <cellStyle name="60% - アクセント 2 3" xfId="134" xr:uid="{00000000-0005-0000-0000-000085000000}"/>
    <cellStyle name="60% - アクセント 2 4" xfId="135" xr:uid="{00000000-0005-0000-0000-000086000000}"/>
    <cellStyle name="60% - アクセント 2 5" xfId="136" xr:uid="{00000000-0005-0000-0000-000087000000}"/>
    <cellStyle name="60% - アクセント 2 6" xfId="137" xr:uid="{00000000-0005-0000-0000-000088000000}"/>
    <cellStyle name="60% - アクセント 2 7" xfId="138" xr:uid="{00000000-0005-0000-0000-000089000000}"/>
    <cellStyle name="60% - アクセント 2 8" xfId="139" xr:uid="{00000000-0005-0000-0000-00008A000000}"/>
    <cellStyle name="60% - アクセント 2 9" xfId="140" xr:uid="{00000000-0005-0000-0000-00008B000000}"/>
    <cellStyle name="60% - アクセント 3 2" xfId="141" xr:uid="{00000000-0005-0000-0000-00008C000000}"/>
    <cellStyle name="60% - アクセント 3 2 2" xfId="142" xr:uid="{00000000-0005-0000-0000-00008D000000}"/>
    <cellStyle name="60% - アクセント 3 2 3" xfId="143" xr:uid="{00000000-0005-0000-0000-00008E000000}"/>
    <cellStyle name="60% - アクセント 3 2 4" xfId="144" xr:uid="{00000000-0005-0000-0000-00008F000000}"/>
    <cellStyle name="60% - アクセント 3 2 5" xfId="145" xr:uid="{00000000-0005-0000-0000-000090000000}"/>
    <cellStyle name="60% - アクセント 3 2 6" xfId="146" xr:uid="{00000000-0005-0000-0000-000091000000}"/>
    <cellStyle name="60% - アクセント 3 2 7" xfId="147" xr:uid="{00000000-0005-0000-0000-000092000000}"/>
    <cellStyle name="60% - アクセント 3 2 8" xfId="148" xr:uid="{00000000-0005-0000-0000-000093000000}"/>
    <cellStyle name="60% - アクセント 3 2 9" xfId="149" xr:uid="{00000000-0005-0000-0000-000094000000}"/>
    <cellStyle name="60% - アクセント 3 3" xfId="150" xr:uid="{00000000-0005-0000-0000-000095000000}"/>
    <cellStyle name="60% - アクセント 3 4" xfId="151" xr:uid="{00000000-0005-0000-0000-000096000000}"/>
    <cellStyle name="60% - アクセント 3 5" xfId="152" xr:uid="{00000000-0005-0000-0000-000097000000}"/>
    <cellStyle name="60% - アクセント 3 6" xfId="153" xr:uid="{00000000-0005-0000-0000-000098000000}"/>
    <cellStyle name="60% - アクセント 3 7" xfId="154" xr:uid="{00000000-0005-0000-0000-000099000000}"/>
    <cellStyle name="60% - アクセント 3 8" xfId="155" xr:uid="{00000000-0005-0000-0000-00009A000000}"/>
    <cellStyle name="60% - アクセント 3 9" xfId="156" xr:uid="{00000000-0005-0000-0000-00009B000000}"/>
    <cellStyle name="60% - アクセント 4 2" xfId="157" xr:uid="{00000000-0005-0000-0000-00009C000000}"/>
    <cellStyle name="60% - アクセント 4 2 2" xfId="158" xr:uid="{00000000-0005-0000-0000-00009D000000}"/>
    <cellStyle name="60% - アクセント 4 2 3" xfId="159" xr:uid="{00000000-0005-0000-0000-00009E000000}"/>
    <cellStyle name="60% - アクセント 4 2 4" xfId="160" xr:uid="{00000000-0005-0000-0000-00009F000000}"/>
    <cellStyle name="60% - アクセント 4 2 5" xfId="161" xr:uid="{00000000-0005-0000-0000-0000A0000000}"/>
    <cellStyle name="60% - アクセント 4 2 6" xfId="162" xr:uid="{00000000-0005-0000-0000-0000A1000000}"/>
    <cellStyle name="60% - アクセント 4 2 7" xfId="163" xr:uid="{00000000-0005-0000-0000-0000A2000000}"/>
    <cellStyle name="60% - アクセント 4 2 8" xfId="164" xr:uid="{00000000-0005-0000-0000-0000A3000000}"/>
    <cellStyle name="60% - アクセント 4 2 9" xfId="165" xr:uid="{00000000-0005-0000-0000-0000A4000000}"/>
    <cellStyle name="60% - アクセント 4 3" xfId="166" xr:uid="{00000000-0005-0000-0000-0000A5000000}"/>
    <cellStyle name="60% - アクセント 4 4" xfId="167" xr:uid="{00000000-0005-0000-0000-0000A6000000}"/>
    <cellStyle name="60% - アクセント 4 5" xfId="168" xr:uid="{00000000-0005-0000-0000-0000A7000000}"/>
    <cellStyle name="60% - アクセント 4 6" xfId="169" xr:uid="{00000000-0005-0000-0000-0000A8000000}"/>
    <cellStyle name="60% - アクセント 4 7" xfId="170" xr:uid="{00000000-0005-0000-0000-0000A9000000}"/>
    <cellStyle name="60% - アクセント 4 8" xfId="171" xr:uid="{00000000-0005-0000-0000-0000AA000000}"/>
    <cellStyle name="60% - アクセント 4 9" xfId="172" xr:uid="{00000000-0005-0000-0000-0000AB000000}"/>
    <cellStyle name="60% - アクセント 5 2" xfId="173" xr:uid="{00000000-0005-0000-0000-0000AC000000}"/>
    <cellStyle name="60% - アクセント 5 2 2" xfId="174" xr:uid="{00000000-0005-0000-0000-0000AD000000}"/>
    <cellStyle name="60% - アクセント 5 2 3" xfId="175" xr:uid="{00000000-0005-0000-0000-0000AE000000}"/>
    <cellStyle name="60% - アクセント 5 2 4" xfId="176" xr:uid="{00000000-0005-0000-0000-0000AF000000}"/>
    <cellStyle name="60% - アクセント 5 2 5" xfId="177" xr:uid="{00000000-0005-0000-0000-0000B0000000}"/>
    <cellStyle name="60% - アクセント 5 2 6" xfId="178" xr:uid="{00000000-0005-0000-0000-0000B1000000}"/>
    <cellStyle name="60% - アクセント 5 2 7" xfId="179" xr:uid="{00000000-0005-0000-0000-0000B2000000}"/>
    <cellStyle name="60% - アクセント 5 2 8" xfId="180" xr:uid="{00000000-0005-0000-0000-0000B3000000}"/>
    <cellStyle name="60% - アクセント 5 2 9" xfId="181" xr:uid="{00000000-0005-0000-0000-0000B4000000}"/>
    <cellStyle name="60% - アクセント 5 3" xfId="182" xr:uid="{00000000-0005-0000-0000-0000B5000000}"/>
    <cellStyle name="60% - アクセント 5 4" xfId="183" xr:uid="{00000000-0005-0000-0000-0000B6000000}"/>
    <cellStyle name="60% - アクセント 5 5" xfId="184" xr:uid="{00000000-0005-0000-0000-0000B7000000}"/>
    <cellStyle name="60% - アクセント 5 6" xfId="185" xr:uid="{00000000-0005-0000-0000-0000B8000000}"/>
    <cellStyle name="60% - アクセント 5 7" xfId="186" xr:uid="{00000000-0005-0000-0000-0000B9000000}"/>
    <cellStyle name="60% - アクセント 5 8" xfId="187" xr:uid="{00000000-0005-0000-0000-0000BA000000}"/>
    <cellStyle name="60% - アクセント 5 9" xfId="188" xr:uid="{00000000-0005-0000-0000-0000BB000000}"/>
    <cellStyle name="60% - アクセント 6 2" xfId="189" xr:uid="{00000000-0005-0000-0000-0000BC000000}"/>
    <cellStyle name="60% - アクセント 6 2 2" xfId="190" xr:uid="{00000000-0005-0000-0000-0000BD000000}"/>
    <cellStyle name="60% - アクセント 6 2 3" xfId="191" xr:uid="{00000000-0005-0000-0000-0000BE000000}"/>
    <cellStyle name="60% - アクセント 6 2 4" xfId="192" xr:uid="{00000000-0005-0000-0000-0000BF000000}"/>
    <cellStyle name="60% - アクセント 6 2 5" xfId="193" xr:uid="{00000000-0005-0000-0000-0000C0000000}"/>
    <cellStyle name="60% - アクセント 6 2 6" xfId="194" xr:uid="{00000000-0005-0000-0000-0000C1000000}"/>
    <cellStyle name="60% - アクセント 6 2 7" xfId="195" xr:uid="{00000000-0005-0000-0000-0000C2000000}"/>
    <cellStyle name="60% - アクセント 6 2 8" xfId="196" xr:uid="{00000000-0005-0000-0000-0000C3000000}"/>
    <cellStyle name="60% - アクセント 6 2 9" xfId="197" xr:uid="{00000000-0005-0000-0000-0000C4000000}"/>
    <cellStyle name="60% - アクセント 6 3" xfId="198" xr:uid="{00000000-0005-0000-0000-0000C5000000}"/>
    <cellStyle name="60% - アクセント 6 4" xfId="199" xr:uid="{00000000-0005-0000-0000-0000C6000000}"/>
    <cellStyle name="60% - アクセント 6 5" xfId="200" xr:uid="{00000000-0005-0000-0000-0000C7000000}"/>
    <cellStyle name="60% - アクセント 6 6" xfId="201" xr:uid="{00000000-0005-0000-0000-0000C8000000}"/>
    <cellStyle name="60% - アクセント 6 7" xfId="202" xr:uid="{00000000-0005-0000-0000-0000C9000000}"/>
    <cellStyle name="60% - アクセント 6 8" xfId="203" xr:uid="{00000000-0005-0000-0000-0000CA000000}"/>
    <cellStyle name="60% - アクセント 6 9" xfId="204" xr:uid="{00000000-0005-0000-0000-0000CB000000}"/>
    <cellStyle name="アクセント 1 2" xfId="205" xr:uid="{00000000-0005-0000-0000-0000CC000000}"/>
    <cellStyle name="アクセント 1 2 2" xfId="206" xr:uid="{00000000-0005-0000-0000-0000CD000000}"/>
    <cellStyle name="アクセント 1 2 3" xfId="207" xr:uid="{00000000-0005-0000-0000-0000CE000000}"/>
    <cellStyle name="アクセント 1 2 4" xfId="208" xr:uid="{00000000-0005-0000-0000-0000CF000000}"/>
    <cellStyle name="アクセント 1 2 5" xfId="209" xr:uid="{00000000-0005-0000-0000-0000D0000000}"/>
    <cellStyle name="アクセント 1 2 6" xfId="210" xr:uid="{00000000-0005-0000-0000-0000D1000000}"/>
    <cellStyle name="アクセント 1 2 7" xfId="211" xr:uid="{00000000-0005-0000-0000-0000D2000000}"/>
    <cellStyle name="アクセント 1 2 8" xfId="212" xr:uid="{00000000-0005-0000-0000-0000D3000000}"/>
    <cellStyle name="アクセント 1 2 9" xfId="213" xr:uid="{00000000-0005-0000-0000-0000D4000000}"/>
    <cellStyle name="アクセント 1 3" xfId="214" xr:uid="{00000000-0005-0000-0000-0000D5000000}"/>
    <cellStyle name="アクセント 1 4" xfId="215" xr:uid="{00000000-0005-0000-0000-0000D6000000}"/>
    <cellStyle name="アクセント 1 5" xfId="216" xr:uid="{00000000-0005-0000-0000-0000D7000000}"/>
    <cellStyle name="アクセント 1 6" xfId="217" xr:uid="{00000000-0005-0000-0000-0000D8000000}"/>
    <cellStyle name="アクセント 1 7" xfId="218" xr:uid="{00000000-0005-0000-0000-0000D9000000}"/>
    <cellStyle name="アクセント 1 8" xfId="219" xr:uid="{00000000-0005-0000-0000-0000DA000000}"/>
    <cellStyle name="アクセント 1 9" xfId="220" xr:uid="{00000000-0005-0000-0000-0000DB000000}"/>
    <cellStyle name="アクセント 2 2" xfId="221" xr:uid="{00000000-0005-0000-0000-0000DC000000}"/>
    <cellStyle name="アクセント 2 2 2" xfId="222" xr:uid="{00000000-0005-0000-0000-0000DD000000}"/>
    <cellStyle name="アクセント 2 2 3" xfId="223" xr:uid="{00000000-0005-0000-0000-0000DE000000}"/>
    <cellStyle name="アクセント 2 2 4" xfId="224" xr:uid="{00000000-0005-0000-0000-0000DF000000}"/>
    <cellStyle name="アクセント 2 2 5" xfId="225" xr:uid="{00000000-0005-0000-0000-0000E0000000}"/>
    <cellStyle name="アクセント 2 2 6" xfId="226" xr:uid="{00000000-0005-0000-0000-0000E1000000}"/>
    <cellStyle name="アクセント 2 2 7" xfId="227" xr:uid="{00000000-0005-0000-0000-0000E2000000}"/>
    <cellStyle name="アクセント 2 2 8" xfId="228" xr:uid="{00000000-0005-0000-0000-0000E3000000}"/>
    <cellStyle name="アクセント 2 2 9" xfId="229" xr:uid="{00000000-0005-0000-0000-0000E4000000}"/>
    <cellStyle name="アクセント 2 3" xfId="230" xr:uid="{00000000-0005-0000-0000-0000E5000000}"/>
    <cellStyle name="アクセント 2 4" xfId="231" xr:uid="{00000000-0005-0000-0000-0000E6000000}"/>
    <cellStyle name="アクセント 2 5" xfId="232" xr:uid="{00000000-0005-0000-0000-0000E7000000}"/>
    <cellStyle name="アクセント 2 6" xfId="233" xr:uid="{00000000-0005-0000-0000-0000E8000000}"/>
    <cellStyle name="アクセント 2 7" xfId="234" xr:uid="{00000000-0005-0000-0000-0000E9000000}"/>
    <cellStyle name="アクセント 2 8" xfId="235" xr:uid="{00000000-0005-0000-0000-0000EA000000}"/>
    <cellStyle name="アクセント 2 9" xfId="236" xr:uid="{00000000-0005-0000-0000-0000EB000000}"/>
    <cellStyle name="アクセント 3 2" xfId="237" xr:uid="{00000000-0005-0000-0000-0000EC000000}"/>
    <cellStyle name="アクセント 3 2 2" xfId="238" xr:uid="{00000000-0005-0000-0000-0000ED000000}"/>
    <cellStyle name="アクセント 3 2 3" xfId="239" xr:uid="{00000000-0005-0000-0000-0000EE000000}"/>
    <cellStyle name="アクセント 3 2 4" xfId="240" xr:uid="{00000000-0005-0000-0000-0000EF000000}"/>
    <cellStyle name="アクセント 3 2 5" xfId="241" xr:uid="{00000000-0005-0000-0000-0000F0000000}"/>
    <cellStyle name="アクセント 3 2 6" xfId="242" xr:uid="{00000000-0005-0000-0000-0000F1000000}"/>
    <cellStyle name="アクセント 3 2 7" xfId="243" xr:uid="{00000000-0005-0000-0000-0000F2000000}"/>
    <cellStyle name="アクセント 3 2 8" xfId="244" xr:uid="{00000000-0005-0000-0000-0000F3000000}"/>
    <cellStyle name="アクセント 3 2 9" xfId="245" xr:uid="{00000000-0005-0000-0000-0000F4000000}"/>
    <cellStyle name="アクセント 3 3" xfId="246" xr:uid="{00000000-0005-0000-0000-0000F5000000}"/>
    <cellStyle name="アクセント 3 4" xfId="247" xr:uid="{00000000-0005-0000-0000-0000F6000000}"/>
    <cellStyle name="アクセント 3 5" xfId="248" xr:uid="{00000000-0005-0000-0000-0000F7000000}"/>
    <cellStyle name="アクセント 3 6" xfId="249" xr:uid="{00000000-0005-0000-0000-0000F8000000}"/>
    <cellStyle name="アクセント 3 7" xfId="250" xr:uid="{00000000-0005-0000-0000-0000F9000000}"/>
    <cellStyle name="アクセント 3 8" xfId="251" xr:uid="{00000000-0005-0000-0000-0000FA000000}"/>
    <cellStyle name="アクセント 3 9" xfId="252" xr:uid="{00000000-0005-0000-0000-0000FB000000}"/>
    <cellStyle name="アクセント 4 2" xfId="253" xr:uid="{00000000-0005-0000-0000-0000FC000000}"/>
    <cellStyle name="アクセント 4 2 2" xfId="254" xr:uid="{00000000-0005-0000-0000-0000FD000000}"/>
    <cellStyle name="アクセント 4 2 3" xfId="255" xr:uid="{00000000-0005-0000-0000-0000FE000000}"/>
    <cellStyle name="アクセント 4 2 4" xfId="256" xr:uid="{00000000-0005-0000-0000-0000FF000000}"/>
    <cellStyle name="アクセント 4 2 5" xfId="257" xr:uid="{00000000-0005-0000-0000-000000010000}"/>
    <cellStyle name="アクセント 4 2 6" xfId="258" xr:uid="{00000000-0005-0000-0000-000001010000}"/>
    <cellStyle name="アクセント 4 2 7" xfId="259" xr:uid="{00000000-0005-0000-0000-000002010000}"/>
    <cellStyle name="アクセント 4 2 8" xfId="260" xr:uid="{00000000-0005-0000-0000-000003010000}"/>
    <cellStyle name="アクセント 4 2 9" xfId="261" xr:uid="{00000000-0005-0000-0000-000004010000}"/>
    <cellStyle name="アクセント 4 3" xfId="262" xr:uid="{00000000-0005-0000-0000-000005010000}"/>
    <cellStyle name="アクセント 4 4" xfId="263" xr:uid="{00000000-0005-0000-0000-000006010000}"/>
    <cellStyle name="アクセント 4 5" xfId="264" xr:uid="{00000000-0005-0000-0000-000007010000}"/>
    <cellStyle name="アクセント 4 6" xfId="265" xr:uid="{00000000-0005-0000-0000-000008010000}"/>
    <cellStyle name="アクセント 4 7" xfId="266" xr:uid="{00000000-0005-0000-0000-000009010000}"/>
    <cellStyle name="アクセント 4 8" xfId="267" xr:uid="{00000000-0005-0000-0000-00000A010000}"/>
    <cellStyle name="アクセント 4 9" xfId="268" xr:uid="{00000000-0005-0000-0000-00000B010000}"/>
    <cellStyle name="アクセント 5 2" xfId="269" xr:uid="{00000000-0005-0000-0000-00000C010000}"/>
    <cellStyle name="アクセント 5 2 2" xfId="270" xr:uid="{00000000-0005-0000-0000-00000D010000}"/>
    <cellStyle name="アクセント 5 2 3" xfId="271" xr:uid="{00000000-0005-0000-0000-00000E010000}"/>
    <cellStyle name="アクセント 5 2 4" xfId="272" xr:uid="{00000000-0005-0000-0000-00000F010000}"/>
    <cellStyle name="アクセント 5 2 5" xfId="273" xr:uid="{00000000-0005-0000-0000-000010010000}"/>
    <cellStyle name="アクセント 5 2 6" xfId="274" xr:uid="{00000000-0005-0000-0000-000011010000}"/>
    <cellStyle name="アクセント 5 2 7" xfId="275" xr:uid="{00000000-0005-0000-0000-000012010000}"/>
    <cellStyle name="アクセント 5 2 8" xfId="276" xr:uid="{00000000-0005-0000-0000-000013010000}"/>
    <cellStyle name="アクセント 5 2 9" xfId="277" xr:uid="{00000000-0005-0000-0000-000014010000}"/>
    <cellStyle name="アクセント 5 3" xfId="278" xr:uid="{00000000-0005-0000-0000-000015010000}"/>
    <cellStyle name="アクセント 5 4" xfId="279" xr:uid="{00000000-0005-0000-0000-000016010000}"/>
    <cellStyle name="アクセント 5 5" xfId="280" xr:uid="{00000000-0005-0000-0000-000017010000}"/>
    <cellStyle name="アクセント 5 6" xfId="281" xr:uid="{00000000-0005-0000-0000-000018010000}"/>
    <cellStyle name="アクセント 5 7" xfId="282" xr:uid="{00000000-0005-0000-0000-000019010000}"/>
    <cellStyle name="アクセント 5 8" xfId="283" xr:uid="{00000000-0005-0000-0000-00001A010000}"/>
    <cellStyle name="アクセント 5 9" xfId="284" xr:uid="{00000000-0005-0000-0000-00001B010000}"/>
    <cellStyle name="アクセント 6 2" xfId="285" xr:uid="{00000000-0005-0000-0000-00001C010000}"/>
    <cellStyle name="アクセント 6 2 2" xfId="286" xr:uid="{00000000-0005-0000-0000-00001D010000}"/>
    <cellStyle name="アクセント 6 2 3" xfId="287" xr:uid="{00000000-0005-0000-0000-00001E010000}"/>
    <cellStyle name="アクセント 6 2 4" xfId="288" xr:uid="{00000000-0005-0000-0000-00001F010000}"/>
    <cellStyle name="アクセント 6 2 5" xfId="289" xr:uid="{00000000-0005-0000-0000-000020010000}"/>
    <cellStyle name="アクセント 6 2 6" xfId="290" xr:uid="{00000000-0005-0000-0000-000021010000}"/>
    <cellStyle name="アクセント 6 2 7" xfId="291" xr:uid="{00000000-0005-0000-0000-000022010000}"/>
    <cellStyle name="アクセント 6 2 8" xfId="292" xr:uid="{00000000-0005-0000-0000-000023010000}"/>
    <cellStyle name="アクセント 6 2 9" xfId="293" xr:uid="{00000000-0005-0000-0000-000024010000}"/>
    <cellStyle name="アクセント 6 3" xfId="294" xr:uid="{00000000-0005-0000-0000-000025010000}"/>
    <cellStyle name="アクセント 6 4" xfId="295" xr:uid="{00000000-0005-0000-0000-000026010000}"/>
    <cellStyle name="アクセント 6 5" xfId="296" xr:uid="{00000000-0005-0000-0000-000027010000}"/>
    <cellStyle name="アクセント 6 6" xfId="297" xr:uid="{00000000-0005-0000-0000-000028010000}"/>
    <cellStyle name="アクセント 6 7" xfId="298" xr:uid="{00000000-0005-0000-0000-000029010000}"/>
    <cellStyle name="アクセント 6 8" xfId="299" xr:uid="{00000000-0005-0000-0000-00002A010000}"/>
    <cellStyle name="アクセント 6 9" xfId="300" xr:uid="{00000000-0005-0000-0000-00002B010000}"/>
    <cellStyle name="タイトル 2" xfId="301" xr:uid="{00000000-0005-0000-0000-00002C010000}"/>
    <cellStyle name="タイトル 2 2" xfId="302" xr:uid="{00000000-0005-0000-0000-00002D010000}"/>
    <cellStyle name="タイトル 2 3" xfId="303" xr:uid="{00000000-0005-0000-0000-00002E010000}"/>
    <cellStyle name="タイトル 2 4" xfId="304" xr:uid="{00000000-0005-0000-0000-00002F010000}"/>
    <cellStyle name="タイトル 2 5" xfId="305" xr:uid="{00000000-0005-0000-0000-000030010000}"/>
    <cellStyle name="タイトル 2 6" xfId="306" xr:uid="{00000000-0005-0000-0000-000031010000}"/>
    <cellStyle name="タイトル 2 7" xfId="307" xr:uid="{00000000-0005-0000-0000-000032010000}"/>
    <cellStyle name="タイトル 2 8" xfId="308" xr:uid="{00000000-0005-0000-0000-000033010000}"/>
    <cellStyle name="タイトル 2 9" xfId="309" xr:uid="{00000000-0005-0000-0000-000034010000}"/>
    <cellStyle name="タイトル 3" xfId="310" xr:uid="{00000000-0005-0000-0000-000035010000}"/>
    <cellStyle name="タイトル 4" xfId="311" xr:uid="{00000000-0005-0000-0000-000036010000}"/>
    <cellStyle name="タイトル 5" xfId="312" xr:uid="{00000000-0005-0000-0000-000037010000}"/>
    <cellStyle name="タイトル 6" xfId="313" xr:uid="{00000000-0005-0000-0000-000038010000}"/>
    <cellStyle name="タイトル 7" xfId="314" xr:uid="{00000000-0005-0000-0000-000039010000}"/>
    <cellStyle name="タイトル 8" xfId="315" xr:uid="{00000000-0005-0000-0000-00003A010000}"/>
    <cellStyle name="タイトル 9" xfId="316" xr:uid="{00000000-0005-0000-0000-00003B010000}"/>
    <cellStyle name="チェック セル 2" xfId="317" xr:uid="{00000000-0005-0000-0000-00003C010000}"/>
    <cellStyle name="チェック セル 2 2" xfId="318" xr:uid="{00000000-0005-0000-0000-00003D010000}"/>
    <cellStyle name="チェック セル 2 3" xfId="319" xr:uid="{00000000-0005-0000-0000-00003E010000}"/>
    <cellStyle name="チェック セル 2 4" xfId="320" xr:uid="{00000000-0005-0000-0000-00003F010000}"/>
    <cellStyle name="チェック セル 2 5" xfId="321" xr:uid="{00000000-0005-0000-0000-000040010000}"/>
    <cellStyle name="チェック セル 2 6" xfId="322" xr:uid="{00000000-0005-0000-0000-000041010000}"/>
    <cellStyle name="チェック セル 2 7" xfId="323" xr:uid="{00000000-0005-0000-0000-000042010000}"/>
    <cellStyle name="チェック セル 2 8" xfId="324" xr:uid="{00000000-0005-0000-0000-000043010000}"/>
    <cellStyle name="チェック セル 2 9" xfId="325" xr:uid="{00000000-0005-0000-0000-000044010000}"/>
    <cellStyle name="チェック セル 3" xfId="326" xr:uid="{00000000-0005-0000-0000-000045010000}"/>
    <cellStyle name="チェック セル 4" xfId="327" xr:uid="{00000000-0005-0000-0000-000046010000}"/>
    <cellStyle name="チェック セル 5" xfId="328" xr:uid="{00000000-0005-0000-0000-000047010000}"/>
    <cellStyle name="チェック セル 6" xfId="329" xr:uid="{00000000-0005-0000-0000-000048010000}"/>
    <cellStyle name="チェック セル 7" xfId="330" xr:uid="{00000000-0005-0000-0000-000049010000}"/>
    <cellStyle name="チェック セル 8" xfId="331" xr:uid="{00000000-0005-0000-0000-00004A010000}"/>
    <cellStyle name="チェック セル 9" xfId="332" xr:uid="{00000000-0005-0000-0000-00004B010000}"/>
    <cellStyle name="どちらでもない 2" xfId="333" xr:uid="{00000000-0005-0000-0000-00004C010000}"/>
    <cellStyle name="どちらでもない 2 2" xfId="334" xr:uid="{00000000-0005-0000-0000-00004D010000}"/>
    <cellStyle name="どちらでもない 2 3" xfId="335" xr:uid="{00000000-0005-0000-0000-00004E010000}"/>
    <cellStyle name="どちらでもない 2 4" xfId="336" xr:uid="{00000000-0005-0000-0000-00004F010000}"/>
    <cellStyle name="どちらでもない 2 5" xfId="337" xr:uid="{00000000-0005-0000-0000-000050010000}"/>
    <cellStyle name="どちらでもない 2 6" xfId="338" xr:uid="{00000000-0005-0000-0000-000051010000}"/>
    <cellStyle name="どちらでもない 2 7" xfId="339" xr:uid="{00000000-0005-0000-0000-000052010000}"/>
    <cellStyle name="どちらでもない 2 8" xfId="340" xr:uid="{00000000-0005-0000-0000-000053010000}"/>
    <cellStyle name="どちらでもない 2 9" xfId="341" xr:uid="{00000000-0005-0000-0000-000054010000}"/>
    <cellStyle name="どちらでもない 3" xfId="342" xr:uid="{00000000-0005-0000-0000-000055010000}"/>
    <cellStyle name="どちらでもない 4" xfId="343" xr:uid="{00000000-0005-0000-0000-000056010000}"/>
    <cellStyle name="どちらでもない 5" xfId="344" xr:uid="{00000000-0005-0000-0000-000057010000}"/>
    <cellStyle name="どちらでもない 6" xfId="345" xr:uid="{00000000-0005-0000-0000-000058010000}"/>
    <cellStyle name="どちらでもない 7" xfId="346" xr:uid="{00000000-0005-0000-0000-000059010000}"/>
    <cellStyle name="どちらでもない 8" xfId="347" xr:uid="{00000000-0005-0000-0000-00005A010000}"/>
    <cellStyle name="どちらでもない 9" xfId="348" xr:uid="{00000000-0005-0000-0000-00005B010000}"/>
    <cellStyle name="メモ 2" xfId="349" xr:uid="{00000000-0005-0000-0000-00005C010000}"/>
    <cellStyle name="メモ 2 2" xfId="350" xr:uid="{00000000-0005-0000-0000-00005D010000}"/>
    <cellStyle name="メモ 2 3" xfId="351" xr:uid="{00000000-0005-0000-0000-00005E010000}"/>
    <cellStyle name="メモ 2 4" xfId="352" xr:uid="{00000000-0005-0000-0000-00005F010000}"/>
    <cellStyle name="メモ 3" xfId="353" xr:uid="{00000000-0005-0000-0000-000060010000}"/>
    <cellStyle name="メモ 4" xfId="354" xr:uid="{00000000-0005-0000-0000-000061010000}"/>
    <cellStyle name="メモ 5" xfId="355" xr:uid="{00000000-0005-0000-0000-000062010000}"/>
    <cellStyle name="メモ 6" xfId="356" xr:uid="{00000000-0005-0000-0000-000063010000}"/>
    <cellStyle name="メモ 7" xfId="357" xr:uid="{00000000-0005-0000-0000-000064010000}"/>
    <cellStyle name="リンク セル 2" xfId="358" xr:uid="{00000000-0005-0000-0000-000065010000}"/>
    <cellStyle name="リンク セル 2 2" xfId="359" xr:uid="{00000000-0005-0000-0000-000066010000}"/>
    <cellStyle name="リンク セル 2 3" xfId="360" xr:uid="{00000000-0005-0000-0000-000067010000}"/>
    <cellStyle name="リンク セル 2 4" xfId="361" xr:uid="{00000000-0005-0000-0000-000068010000}"/>
    <cellStyle name="リンク セル 2 5" xfId="362" xr:uid="{00000000-0005-0000-0000-000069010000}"/>
    <cellStyle name="リンク セル 2 6" xfId="363" xr:uid="{00000000-0005-0000-0000-00006A010000}"/>
    <cellStyle name="リンク セル 2 7" xfId="364" xr:uid="{00000000-0005-0000-0000-00006B010000}"/>
    <cellStyle name="リンク セル 2 8" xfId="365" xr:uid="{00000000-0005-0000-0000-00006C010000}"/>
    <cellStyle name="リンク セル 2 9" xfId="366" xr:uid="{00000000-0005-0000-0000-00006D010000}"/>
    <cellStyle name="リンク セル 3" xfId="367" xr:uid="{00000000-0005-0000-0000-00006E010000}"/>
    <cellStyle name="リンク セル 4" xfId="368" xr:uid="{00000000-0005-0000-0000-00006F010000}"/>
    <cellStyle name="リンク セル 5" xfId="369" xr:uid="{00000000-0005-0000-0000-000070010000}"/>
    <cellStyle name="リンク セル 6" xfId="370" xr:uid="{00000000-0005-0000-0000-000071010000}"/>
    <cellStyle name="リンク セル 7" xfId="371" xr:uid="{00000000-0005-0000-0000-000072010000}"/>
    <cellStyle name="リンク セル 8" xfId="372" xr:uid="{00000000-0005-0000-0000-000073010000}"/>
    <cellStyle name="リンク セル 9" xfId="373" xr:uid="{00000000-0005-0000-0000-000074010000}"/>
    <cellStyle name="悪い 2" xfId="374" xr:uid="{00000000-0005-0000-0000-000075010000}"/>
    <cellStyle name="悪い 2 2" xfId="375" xr:uid="{00000000-0005-0000-0000-000076010000}"/>
    <cellStyle name="悪い 2 3" xfId="376" xr:uid="{00000000-0005-0000-0000-000077010000}"/>
    <cellStyle name="悪い 2 4" xfId="377" xr:uid="{00000000-0005-0000-0000-000078010000}"/>
    <cellStyle name="悪い 2 5" xfId="378" xr:uid="{00000000-0005-0000-0000-000079010000}"/>
    <cellStyle name="悪い 2 6" xfId="379" xr:uid="{00000000-0005-0000-0000-00007A010000}"/>
    <cellStyle name="悪い 2 7" xfId="380" xr:uid="{00000000-0005-0000-0000-00007B010000}"/>
    <cellStyle name="悪い 2 8" xfId="381" xr:uid="{00000000-0005-0000-0000-00007C010000}"/>
    <cellStyle name="悪い 2 9" xfId="382" xr:uid="{00000000-0005-0000-0000-00007D010000}"/>
    <cellStyle name="悪い 3" xfId="383" xr:uid="{00000000-0005-0000-0000-00007E010000}"/>
    <cellStyle name="悪い 4" xfId="384" xr:uid="{00000000-0005-0000-0000-00007F010000}"/>
    <cellStyle name="悪い 5" xfId="385" xr:uid="{00000000-0005-0000-0000-000080010000}"/>
    <cellStyle name="悪い 6" xfId="386" xr:uid="{00000000-0005-0000-0000-000081010000}"/>
    <cellStyle name="悪い 7" xfId="387" xr:uid="{00000000-0005-0000-0000-000082010000}"/>
    <cellStyle name="悪い 8" xfId="388" xr:uid="{00000000-0005-0000-0000-000083010000}"/>
    <cellStyle name="悪い 9" xfId="389" xr:uid="{00000000-0005-0000-0000-000084010000}"/>
    <cellStyle name="計算 2" xfId="390" xr:uid="{00000000-0005-0000-0000-000085010000}"/>
    <cellStyle name="計算 2 2" xfId="391" xr:uid="{00000000-0005-0000-0000-000086010000}"/>
    <cellStyle name="計算 2 3" xfId="392" xr:uid="{00000000-0005-0000-0000-000087010000}"/>
    <cellStyle name="計算 2 4" xfId="393" xr:uid="{00000000-0005-0000-0000-000088010000}"/>
    <cellStyle name="計算 2 5" xfId="394" xr:uid="{00000000-0005-0000-0000-000089010000}"/>
    <cellStyle name="計算 2 6" xfId="395" xr:uid="{00000000-0005-0000-0000-00008A010000}"/>
    <cellStyle name="計算 2 7" xfId="396" xr:uid="{00000000-0005-0000-0000-00008B010000}"/>
    <cellStyle name="計算 2 8" xfId="397" xr:uid="{00000000-0005-0000-0000-00008C010000}"/>
    <cellStyle name="計算 2 9" xfId="398" xr:uid="{00000000-0005-0000-0000-00008D010000}"/>
    <cellStyle name="計算 3" xfId="399" xr:uid="{00000000-0005-0000-0000-00008E010000}"/>
    <cellStyle name="計算 4" xfId="400" xr:uid="{00000000-0005-0000-0000-00008F010000}"/>
    <cellStyle name="計算 5" xfId="401" xr:uid="{00000000-0005-0000-0000-000090010000}"/>
    <cellStyle name="計算 6" xfId="402" xr:uid="{00000000-0005-0000-0000-000091010000}"/>
    <cellStyle name="計算 7" xfId="403" xr:uid="{00000000-0005-0000-0000-000092010000}"/>
    <cellStyle name="計算 8" xfId="404" xr:uid="{00000000-0005-0000-0000-000093010000}"/>
    <cellStyle name="計算 9" xfId="405" xr:uid="{00000000-0005-0000-0000-000094010000}"/>
    <cellStyle name="警告文 2" xfId="406" xr:uid="{00000000-0005-0000-0000-000095010000}"/>
    <cellStyle name="警告文 2 2" xfId="407" xr:uid="{00000000-0005-0000-0000-000096010000}"/>
    <cellStyle name="警告文 2 3" xfId="408" xr:uid="{00000000-0005-0000-0000-000097010000}"/>
    <cellStyle name="警告文 2 4" xfId="409" xr:uid="{00000000-0005-0000-0000-000098010000}"/>
    <cellStyle name="警告文 2 5" xfId="410" xr:uid="{00000000-0005-0000-0000-000099010000}"/>
    <cellStyle name="警告文 2 6" xfId="411" xr:uid="{00000000-0005-0000-0000-00009A010000}"/>
    <cellStyle name="警告文 2 7" xfId="412" xr:uid="{00000000-0005-0000-0000-00009B010000}"/>
    <cellStyle name="警告文 2 8" xfId="413" xr:uid="{00000000-0005-0000-0000-00009C010000}"/>
    <cellStyle name="警告文 2 9" xfId="414" xr:uid="{00000000-0005-0000-0000-00009D010000}"/>
    <cellStyle name="警告文 3" xfId="415" xr:uid="{00000000-0005-0000-0000-00009E010000}"/>
    <cellStyle name="警告文 4" xfId="416" xr:uid="{00000000-0005-0000-0000-00009F010000}"/>
    <cellStyle name="警告文 5" xfId="417" xr:uid="{00000000-0005-0000-0000-0000A0010000}"/>
    <cellStyle name="警告文 6" xfId="418" xr:uid="{00000000-0005-0000-0000-0000A1010000}"/>
    <cellStyle name="警告文 7" xfId="419" xr:uid="{00000000-0005-0000-0000-0000A2010000}"/>
    <cellStyle name="警告文 8" xfId="420" xr:uid="{00000000-0005-0000-0000-0000A3010000}"/>
    <cellStyle name="警告文 9" xfId="421" xr:uid="{00000000-0005-0000-0000-0000A4010000}"/>
    <cellStyle name="見出し 1 2" xfId="422" xr:uid="{00000000-0005-0000-0000-0000A5010000}"/>
    <cellStyle name="見出し 1 2 2" xfId="423" xr:uid="{00000000-0005-0000-0000-0000A6010000}"/>
    <cellStyle name="見出し 1 2 3" xfId="424" xr:uid="{00000000-0005-0000-0000-0000A7010000}"/>
    <cellStyle name="見出し 1 2 4" xfId="425" xr:uid="{00000000-0005-0000-0000-0000A8010000}"/>
    <cellStyle name="見出し 1 2 5" xfId="426" xr:uid="{00000000-0005-0000-0000-0000A9010000}"/>
    <cellStyle name="見出し 1 2 6" xfId="427" xr:uid="{00000000-0005-0000-0000-0000AA010000}"/>
    <cellStyle name="見出し 1 2 7" xfId="428" xr:uid="{00000000-0005-0000-0000-0000AB010000}"/>
    <cellStyle name="見出し 1 2 8" xfId="429" xr:uid="{00000000-0005-0000-0000-0000AC010000}"/>
    <cellStyle name="見出し 1 2 9" xfId="430" xr:uid="{00000000-0005-0000-0000-0000AD010000}"/>
    <cellStyle name="見出し 1 3" xfId="431" xr:uid="{00000000-0005-0000-0000-0000AE010000}"/>
    <cellStyle name="見出し 1 4" xfId="432" xr:uid="{00000000-0005-0000-0000-0000AF010000}"/>
    <cellStyle name="見出し 1 5" xfId="433" xr:uid="{00000000-0005-0000-0000-0000B0010000}"/>
    <cellStyle name="見出し 1 6" xfId="434" xr:uid="{00000000-0005-0000-0000-0000B1010000}"/>
    <cellStyle name="見出し 1 7" xfId="435" xr:uid="{00000000-0005-0000-0000-0000B2010000}"/>
    <cellStyle name="見出し 1 8" xfId="436" xr:uid="{00000000-0005-0000-0000-0000B3010000}"/>
    <cellStyle name="見出し 1 9" xfId="437" xr:uid="{00000000-0005-0000-0000-0000B4010000}"/>
    <cellStyle name="見出し 2 2" xfId="438" xr:uid="{00000000-0005-0000-0000-0000B5010000}"/>
    <cellStyle name="見出し 2 2 2" xfId="439" xr:uid="{00000000-0005-0000-0000-0000B6010000}"/>
    <cellStyle name="見出し 2 2 3" xfId="440" xr:uid="{00000000-0005-0000-0000-0000B7010000}"/>
    <cellStyle name="見出し 2 2 4" xfId="441" xr:uid="{00000000-0005-0000-0000-0000B8010000}"/>
    <cellStyle name="見出し 2 2 5" xfId="442" xr:uid="{00000000-0005-0000-0000-0000B9010000}"/>
    <cellStyle name="見出し 2 2 6" xfId="443" xr:uid="{00000000-0005-0000-0000-0000BA010000}"/>
    <cellStyle name="見出し 2 2 7" xfId="444" xr:uid="{00000000-0005-0000-0000-0000BB010000}"/>
    <cellStyle name="見出し 2 2 8" xfId="445" xr:uid="{00000000-0005-0000-0000-0000BC010000}"/>
    <cellStyle name="見出し 2 2 9" xfId="446" xr:uid="{00000000-0005-0000-0000-0000BD010000}"/>
    <cellStyle name="見出し 2 3" xfId="447" xr:uid="{00000000-0005-0000-0000-0000BE010000}"/>
    <cellStyle name="見出し 2 4" xfId="448" xr:uid="{00000000-0005-0000-0000-0000BF010000}"/>
    <cellStyle name="見出し 2 5" xfId="449" xr:uid="{00000000-0005-0000-0000-0000C0010000}"/>
    <cellStyle name="見出し 2 6" xfId="450" xr:uid="{00000000-0005-0000-0000-0000C1010000}"/>
    <cellStyle name="見出し 2 7" xfId="451" xr:uid="{00000000-0005-0000-0000-0000C2010000}"/>
    <cellStyle name="見出し 2 8" xfId="452" xr:uid="{00000000-0005-0000-0000-0000C3010000}"/>
    <cellStyle name="見出し 2 9" xfId="453" xr:uid="{00000000-0005-0000-0000-0000C4010000}"/>
    <cellStyle name="見出し 3 2" xfId="454" xr:uid="{00000000-0005-0000-0000-0000C5010000}"/>
    <cellStyle name="見出し 3 2 2" xfId="455" xr:uid="{00000000-0005-0000-0000-0000C6010000}"/>
    <cellStyle name="見出し 3 2 3" xfId="456" xr:uid="{00000000-0005-0000-0000-0000C7010000}"/>
    <cellStyle name="見出し 3 2 4" xfId="457" xr:uid="{00000000-0005-0000-0000-0000C8010000}"/>
    <cellStyle name="見出し 3 2 5" xfId="458" xr:uid="{00000000-0005-0000-0000-0000C9010000}"/>
    <cellStyle name="見出し 3 2 6" xfId="459" xr:uid="{00000000-0005-0000-0000-0000CA010000}"/>
    <cellStyle name="見出し 3 2 7" xfId="460" xr:uid="{00000000-0005-0000-0000-0000CB010000}"/>
    <cellStyle name="見出し 3 2 8" xfId="461" xr:uid="{00000000-0005-0000-0000-0000CC010000}"/>
    <cellStyle name="見出し 3 2 9" xfId="462" xr:uid="{00000000-0005-0000-0000-0000CD010000}"/>
    <cellStyle name="見出し 3 3" xfId="463" xr:uid="{00000000-0005-0000-0000-0000CE010000}"/>
    <cellStyle name="見出し 3 4" xfId="464" xr:uid="{00000000-0005-0000-0000-0000CF010000}"/>
    <cellStyle name="見出し 3 5" xfId="465" xr:uid="{00000000-0005-0000-0000-0000D0010000}"/>
    <cellStyle name="見出し 3 6" xfId="466" xr:uid="{00000000-0005-0000-0000-0000D1010000}"/>
    <cellStyle name="見出し 3 7" xfId="467" xr:uid="{00000000-0005-0000-0000-0000D2010000}"/>
    <cellStyle name="見出し 3 8" xfId="468" xr:uid="{00000000-0005-0000-0000-0000D3010000}"/>
    <cellStyle name="見出し 3 9" xfId="469" xr:uid="{00000000-0005-0000-0000-0000D4010000}"/>
    <cellStyle name="見出し 4 2" xfId="470" xr:uid="{00000000-0005-0000-0000-0000D5010000}"/>
    <cellStyle name="見出し 4 2 2" xfId="471" xr:uid="{00000000-0005-0000-0000-0000D6010000}"/>
    <cellStyle name="見出し 4 2 3" xfId="472" xr:uid="{00000000-0005-0000-0000-0000D7010000}"/>
    <cellStyle name="見出し 4 2 4" xfId="473" xr:uid="{00000000-0005-0000-0000-0000D8010000}"/>
    <cellStyle name="見出し 4 2 5" xfId="474" xr:uid="{00000000-0005-0000-0000-0000D9010000}"/>
    <cellStyle name="見出し 4 2 6" xfId="475" xr:uid="{00000000-0005-0000-0000-0000DA010000}"/>
    <cellStyle name="見出し 4 2 7" xfId="476" xr:uid="{00000000-0005-0000-0000-0000DB010000}"/>
    <cellStyle name="見出し 4 2 8" xfId="477" xr:uid="{00000000-0005-0000-0000-0000DC010000}"/>
    <cellStyle name="見出し 4 2 9" xfId="478" xr:uid="{00000000-0005-0000-0000-0000DD010000}"/>
    <cellStyle name="見出し 4 3" xfId="479" xr:uid="{00000000-0005-0000-0000-0000DE010000}"/>
    <cellStyle name="見出し 4 4" xfId="480" xr:uid="{00000000-0005-0000-0000-0000DF010000}"/>
    <cellStyle name="見出し 4 5" xfId="481" xr:uid="{00000000-0005-0000-0000-0000E0010000}"/>
    <cellStyle name="見出し 4 6" xfId="482" xr:uid="{00000000-0005-0000-0000-0000E1010000}"/>
    <cellStyle name="見出し 4 7" xfId="483" xr:uid="{00000000-0005-0000-0000-0000E2010000}"/>
    <cellStyle name="見出し 4 8" xfId="484" xr:uid="{00000000-0005-0000-0000-0000E3010000}"/>
    <cellStyle name="見出し 4 9" xfId="485" xr:uid="{00000000-0005-0000-0000-0000E4010000}"/>
    <cellStyle name="集計 2" xfId="486" xr:uid="{00000000-0005-0000-0000-0000E5010000}"/>
    <cellStyle name="集計 2 2" xfId="487" xr:uid="{00000000-0005-0000-0000-0000E6010000}"/>
    <cellStyle name="集計 2 3" xfId="488" xr:uid="{00000000-0005-0000-0000-0000E7010000}"/>
    <cellStyle name="集計 2 4" xfId="489" xr:uid="{00000000-0005-0000-0000-0000E8010000}"/>
    <cellStyle name="集計 2 5" xfId="490" xr:uid="{00000000-0005-0000-0000-0000E9010000}"/>
    <cellStyle name="集計 2 6" xfId="491" xr:uid="{00000000-0005-0000-0000-0000EA010000}"/>
    <cellStyle name="集計 2 7" xfId="492" xr:uid="{00000000-0005-0000-0000-0000EB010000}"/>
    <cellStyle name="集計 2 8" xfId="493" xr:uid="{00000000-0005-0000-0000-0000EC010000}"/>
    <cellStyle name="集計 2 9" xfId="494" xr:uid="{00000000-0005-0000-0000-0000ED010000}"/>
    <cellStyle name="集計 3" xfId="495" xr:uid="{00000000-0005-0000-0000-0000EE010000}"/>
    <cellStyle name="集計 4" xfId="496" xr:uid="{00000000-0005-0000-0000-0000EF010000}"/>
    <cellStyle name="集計 5" xfId="497" xr:uid="{00000000-0005-0000-0000-0000F0010000}"/>
    <cellStyle name="集計 6" xfId="498" xr:uid="{00000000-0005-0000-0000-0000F1010000}"/>
    <cellStyle name="集計 7" xfId="499" xr:uid="{00000000-0005-0000-0000-0000F2010000}"/>
    <cellStyle name="集計 8" xfId="500" xr:uid="{00000000-0005-0000-0000-0000F3010000}"/>
    <cellStyle name="集計 9" xfId="501" xr:uid="{00000000-0005-0000-0000-0000F4010000}"/>
    <cellStyle name="出力 2" xfId="502" xr:uid="{00000000-0005-0000-0000-0000F5010000}"/>
    <cellStyle name="出力 2 2" xfId="503" xr:uid="{00000000-0005-0000-0000-0000F6010000}"/>
    <cellStyle name="出力 2 3" xfId="504" xr:uid="{00000000-0005-0000-0000-0000F7010000}"/>
    <cellStyle name="出力 2 4" xfId="505" xr:uid="{00000000-0005-0000-0000-0000F8010000}"/>
    <cellStyle name="出力 2 5" xfId="506" xr:uid="{00000000-0005-0000-0000-0000F9010000}"/>
    <cellStyle name="出力 2 6" xfId="507" xr:uid="{00000000-0005-0000-0000-0000FA010000}"/>
    <cellStyle name="出力 2 7" xfId="508" xr:uid="{00000000-0005-0000-0000-0000FB010000}"/>
    <cellStyle name="出力 2 8" xfId="509" xr:uid="{00000000-0005-0000-0000-0000FC010000}"/>
    <cellStyle name="出力 2 9" xfId="510" xr:uid="{00000000-0005-0000-0000-0000FD010000}"/>
    <cellStyle name="出力 3" xfId="511" xr:uid="{00000000-0005-0000-0000-0000FE010000}"/>
    <cellStyle name="出力 4" xfId="512" xr:uid="{00000000-0005-0000-0000-0000FF010000}"/>
    <cellStyle name="出力 5" xfId="513" xr:uid="{00000000-0005-0000-0000-000000020000}"/>
    <cellStyle name="出力 6" xfId="514" xr:uid="{00000000-0005-0000-0000-000001020000}"/>
    <cellStyle name="出力 7" xfId="515" xr:uid="{00000000-0005-0000-0000-000002020000}"/>
    <cellStyle name="出力 8" xfId="516" xr:uid="{00000000-0005-0000-0000-000003020000}"/>
    <cellStyle name="出力 9" xfId="517" xr:uid="{00000000-0005-0000-0000-000004020000}"/>
    <cellStyle name="説明文 2" xfId="518" xr:uid="{00000000-0005-0000-0000-000005020000}"/>
    <cellStyle name="説明文 2 2" xfId="519" xr:uid="{00000000-0005-0000-0000-000006020000}"/>
    <cellStyle name="説明文 2 3" xfId="520" xr:uid="{00000000-0005-0000-0000-000007020000}"/>
    <cellStyle name="説明文 2 4" xfId="521" xr:uid="{00000000-0005-0000-0000-000008020000}"/>
    <cellStyle name="説明文 2 5" xfId="522" xr:uid="{00000000-0005-0000-0000-000009020000}"/>
    <cellStyle name="説明文 2 6" xfId="523" xr:uid="{00000000-0005-0000-0000-00000A020000}"/>
    <cellStyle name="説明文 2 7" xfId="524" xr:uid="{00000000-0005-0000-0000-00000B020000}"/>
    <cellStyle name="説明文 2 8" xfId="525" xr:uid="{00000000-0005-0000-0000-00000C020000}"/>
    <cellStyle name="説明文 2 9" xfId="526" xr:uid="{00000000-0005-0000-0000-00000D020000}"/>
    <cellStyle name="説明文 3" xfId="527" xr:uid="{00000000-0005-0000-0000-00000E020000}"/>
    <cellStyle name="説明文 4" xfId="528" xr:uid="{00000000-0005-0000-0000-00000F020000}"/>
    <cellStyle name="説明文 5" xfId="529" xr:uid="{00000000-0005-0000-0000-000010020000}"/>
    <cellStyle name="説明文 6" xfId="530" xr:uid="{00000000-0005-0000-0000-000011020000}"/>
    <cellStyle name="説明文 7" xfId="531" xr:uid="{00000000-0005-0000-0000-000012020000}"/>
    <cellStyle name="説明文 8" xfId="532" xr:uid="{00000000-0005-0000-0000-000013020000}"/>
    <cellStyle name="説明文 9" xfId="533" xr:uid="{00000000-0005-0000-0000-000014020000}"/>
    <cellStyle name="入力 2" xfId="534" xr:uid="{00000000-0005-0000-0000-000015020000}"/>
    <cellStyle name="入力 2 2" xfId="535" xr:uid="{00000000-0005-0000-0000-000016020000}"/>
    <cellStyle name="入力 2 3" xfId="536" xr:uid="{00000000-0005-0000-0000-000017020000}"/>
    <cellStyle name="入力 2 4" xfId="537" xr:uid="{00000000-0005-0000-0000-000018020000}"/>
    <cellStyle name="入力 2 5" xfId="538" xr:uid="{00000000-0005-0000-0000-000019020000}"/>
    <cellStyle name="入力 2 6" xfId="539" xr:uid="{00000000-0005-0000-0000-00001A020000}"/>
    <cellStyle name="入力 2 7" xfId="540" xr:uid="{00000000-0005-0000-0000-00001B020000}"/>
    <cellStyle name="入力 2 8" xfId="541" xr:uid="{00000000-0005-0000-0000-00001C020000}"/>
    <cellStyle name="入力 2 9" xfId="542" xr:uid="{00000000-0005-0000-0000-00001D020000}"/>
    <cellStyle name="入力 3" xfId="543" xr:uid="{00000000-0005-0000-0000-00001E020000}"/>
    <cellStyle name="入力 4" xfId="544" xr:uid="{00000000-0005-0000-0000-00001F020000}"/>
    <cellStyle name="入力 5" xfId="545" xr:uid="{00000000-0005-0000-0000-000020020000}"/>
    <cellStyle name="入力 6" xfId="546" xr:uid="{00000000-0005-0000-0000-000021020000}"/>
    <cellStyle name="入力 7" xfId="547" xr:uid="{00000000-0005-0000-0000-000022020000}"/>
    <cellStyle name="入力 8" xfId="548" xr:uid="{00000000-0005-0000-0000-000023020000}"/>
    <cellStyle name="入力 9" xfId="549" xr:uid="{00000000-0005-0000-0000-000024020000}"/>
    <cellStyle name="標準" xfId="0" builtinId="0"/>
    <cellStyle name="標準 10" xfId="550" xr:uid="{00000000-0005-0000-0000-000026020000}"/>
    <cellStyle name="標準 10 2" xfId="551" xr:uid="{00000000-0005-0000-0000-000027020000}"/>
    <cellStyle name="標準 11" xfId="552" xr:uid="{00000000-0005-0000-0000-000028020000}"/>
    <cellStyle name="標準 11 2" xfId="553" xr:uid="{00000000-0005-0000-0000-000029020000}"/>
    <cellStyle name="標準 12 10" xfId="554" xr:uid="{00000000-0005-0000-0000-00002A020000}"/>
    <cellStyle name="標準 12 11" xfId="555" xr:uid="{00000000-0005-0000-0000-00002B020000}"/>
    <cellStyle name="標準 12 12" xfId="556" xr:uid="{00000000-0005-0000-0000-00002C020000}"/>
    <cellStyle name="標準 12 13" xfId="557" xr:uid="{00000000-0005-0000-0000-00002D020000}"/>
    <cellStyle name="標準 12 14" xfId="558" xr:uid="{00000000-0005-0000-0000-00002E020000}"/>
    <cellStyle name="標準 12 15" xfId="559" xr:uid="{00000000-0005-0000-0000-00002F020000}"/>
    <cellStyle name="標準 12 16" xfId="560" xr:uid="{00000000-0005-0000-0000-000030020000}"/>
    <cellStyle name="標準 12 17" xfId="561" xr:uid="{00000000-0005-0000-0000-000031020000}"/>
    <cellStyle name="標準 12 18" xfId="562" xr:uid="{00000000-0005-0000-0000-000032020000}"/>
    <cellStyle name="標準 12 19" xfId="563" xr:uid="{00000000-0005-0000-0000-000033020000}"/>
    <cellStyle name="標準 12 2" xfId="564" xr:uid="{00000000-0005-0000-0000-000034020000}"/>
    <cellStyle name="標準 12 20" xfId="565" xr:uid="{00000000-0005-0000-0000-000035020000}"/>
    <cellStyle name="標準 12 21" xfId="566" xr:uid="{00000000-0005-0000-0000-000036020000}"/>
    <cellStyle name="標準 12 22" xfId="567" xr:uid="{00000000-0005-0000-0000-000037020000}"/>
    <cellStyle name="標準 12 23" xfId="568" xr:uid="{00000000-0005-0000-0000-000038020000}"/>
    <cellStyle name="標準 12 24" xfId="569" xr:uid="{00000000-0005-0000-0000-000039020000}"/>
    <cellStyle name="標準 12 25" xfId="570" xr:uid="{00000000-0005-0000-0000-00003A020000}"/>
    <cellStyle name="標準 12 26" xfId="571" xr:uid="{00000000-0005-0000-0000-00003B020000}"/>
    <cellStyle name="標準 12 27" xfId="572" xr:uid="{00000000-0005-0000-0000-00003C020000}"/>
    <cellStyle name="標準 12 28" xfId="573" xr:uid="{00000000-0005-0000-0000-00003D020000}"/>
    <cellStyle name="標準 12 29" xfId="574" xr:uid="{00000000-0005-0000-0000-00003E020000}"/>
    <cellStyle name="標準 12 3" xfId="575" xr:uid="{00000000-0005-0000-0000-00003F020000}"/>
    <cellStyle name="標準 12 30" xfId="576" xr:uid="{00000000-0005-0000-0000-000040020000}"/>
    <cellStyle name="標準 12 31" xfId="577" xr:uid="{00000000-0005-0000-0000-000041020000}"/>
    <cellStyle name="標準 12 32" xfId="578" xr:uid="{00000000-0005-0000-0000-000042020000}"/>
    <cellStyle name="標準 12 33" xfId="579" xr:uid="{00000000-0005-0000-0000-000043020000}"/>
    <cellStyle name="標準 12 34" xfId="580" xr:uid="{00000000-0005-0000-0000-000044020000}"/>
    <cellStyle name="標準 12 35" xfId="581" xr:uid="{00000000-0005-0000-0000-000045020000}"/>
    <cellStyle name="標準 12 36" xfId="582" xr:uid="{00000000-0005-0000-0000-000046020000}"/>
    <cellStyle name="標準 12 37" xfId="583" xr:uid="{00000000-0005-0000-0000-000047020000}"/>
    <cellStyle name="標準 12 38" xfId="584" xr:uid="{00000000-0005-0000-0000-000048020000}"/>
    <cellStyle name="標準 12 39" xfId="585" xr:uid="{00000000-0005-0000-0000-000049020000}"/>
    <cellStyle name="標準 12 4" xfId="586" xr:uid="{00000000-0005-0000-0000-00004A020000}"/>
    <cellStyle name="標準 12 40" xfId="587" xr:uid="{00000000-0005-0000-0000-00004B020000}"/>
    <cellStyle name="標準 12 41" xfId="588" xr:uid="{00000000-0005-0000-0000-00004C020000}"/>
    <cellStyle name="標準 12 5" xfId="589" xr:uid="{00000000-0005-0000-0000-00004D020000}"/>
    <cellStyle name="標準 12 6" xfId="590" xr:uid="{00000000-0005-0000-0000-00004E020000}"/>
    <cellStyle name="標準 12 7" xfId="591" xr:uid="{00000000-0005-0000-0000-00004F020000}"/>
    <cellStyle name="標準 12 8" xfId="592" xr:uid="{00000000-0005-0000-0000-000050020000}"/>
    <cellStyle name="標準 12 9" xfId="593" xr:uid="{00000000-0005-0000-0000-000051020000}"/>
    <cellStyle name="標準 13" xfId="594" xr:uid="{00000000-0005-0000-0000-000052020000}"/>
    <cellStyle name="標準 13 10" xfId="595" xr:uid="{00000000-0005-0000-0000-000053020000}"/>
    <cellStyle name="標準 13 11" xfId="596" xr:uid="{00000000-0005-0000-0000-000054020000}"/>
    <cellStyle name="標準 13 12" xfId="597" xr:uid="{00000000-0005-0000-0000-000055020000}"/>
    <cellStyle name="標準 13 13" xfId="598" xr:uid="{00000000-0005-0000-0000-000056020000}"/>
    <cellStyle name="標準 13 14" xfId="599" xr:uid="{00000000-0005-0000-0000-000057020000}"/>
    <cellStyle name="標準 13 15" xfId="600" xr:uid="{00000000-0005-0000-0000-000058020000}"/>
    <cellStyle name="標準 13 16" xfId="601" xr:uid="{00000000-0005-0000-0000-000059020000}"/>
    <cellStyle name="標準 13 17" xfId="602" xr:uid="{00000000-0005-0000-0000-00005A020000}"/>
    <cellStyle name="標準 13 18" xfId="603" xr:uid="{00000000-0005-0000-0000-00005B020000}"/>
    <cellStyle name="標準 13 19" xfId="604" xr:uid="{00000000-0005-0000-0000-00005C020000}"/>
    <cellStyle name="標準 13 2" xfId="605" xr:uid="{00000000-0005-0000-0000-00005D020000}"/>
    <cellStyle name="標準 13 20" xfId="606" xr:uid="{00000000-0005-0000-0000-00005E020000}"/>
    <cellStyle name="標準 13 21" xfId="607" xr:uid="{00000000-0005-0000-0000-00005F020000}"/>
    <cellStyle name="標準 13 22" xfId="608" xr:uid="{00000000-0005-0000-0000-000060020000}"/>
    <cellStyle name="標準 13 23" xfId="609" xr:uid="{00000000-0005-0000-0000-000061020000}"/>
    <cellStyle name="標準 13 24" xfId="610" xr:uid="{00000000-0005-0000-0000-000062020000}"/>
    <cellStyle name="標準 13 25" xfId="611" xr:uid="{00000000-0005-0000-0000-000063020000}"/>
    <cellStyle name="標準 13 26" xfId="612" xr:uid="{00000000-0005-0000-0000-000064020000}"/>
    <cellStyle name="標準 13 27" xfId="613" xr:uid="{00000000-0005-0000-0000-000065020000}"/>
    <cellStyle name="標準 13 28" xfId="614" xr:uid="{00000000-0005-0000-0000-000066020000}"/>
    <cellStyle name="標準 13 29" xfId="615" xr:uid="{00000000-0005-0000-0000-000067020000}"/>
    <cellStyle name="標準 13 3" xfId="616" xr:uid="{00000000-0005-0000-0000-000068020000}"/>
    <cellStyle name="標準 13 30" xfId="617" xr:uid="{00000000-0005-0000-0000-000069020000}"/>
    <cellStyle name="標準 13 31" xfId="618" xr:uid="{00000000-0005-0000-0000-00006A020000}"/>
    <cellStyle name="標準 13 32" xfId="619" xr:uid="{00000000-0005-0000-0000-00006B020000}"/>
    <cellStyle name="標準 13 33" xfId="620" xr:uid="{00000000-0005-0000-0000-00006C020000}"/>
    <cellStyle name="標準 13 34" xfId="621" xr:uid="{00000000-0005-0000-0000-00006D020000}"/>
    <cellStyle name="標準 13 35" xfId="622" xr:uid="{00000000-0005-0000-0000-00006E020000}"/>
    <cellStyle name="標準 13 36" xfId="623" xr:uid="{00000000-0005-0000-0000-00006F020000}"/>
    <cellStyle name="標準 13 37" xfId="624" xr:uid="{00000000-0005-0000-0000-000070020000}"/>
    <cellStyle name="標準 13 38" xfId="625" xr:uid="{00000000-0005-0000-0000-000071020000}"/>
    <cellStyle name="標準 13 39" xfId="626" xr:uid="{00000000-0005-0000-0000-000072020000}"/>
    <cellStyle name="標準 13 4" xfId="627" xr:uid="{00000000-0005-0000-0000-000073020000}"/>
    <cellStyle name="標準 13 40" xfId="628" xr:uid="{00000000-0005-0000-0000-000074020000}"/>
    <cellStyle name="標準 13 41" xfId="629" xr:uid="{00000000-0005-0000-0000-000075020000}"/>
    <cellStyle name="標準 13 42" xfId="630" xr:uid="{00000000-0005-0000-0000-000076020000}"/>
    <cellStyle name="標準 13 43" xfId="631" xr:uid="{00000000-0005-0000-0000-000077020000}"/>
    <cellStyle name="標準 13 44" xfId="632" xr:uid="{00000000-0005-0000-0000-000078020000}"/>
    <cellStyle name="標準 13 45" xfId="633" xr:uid="{00000000-0005-0000-0000-000079020000}"/>
    <cellStyle name="標準 13 46" xfId="634" xr:uid="{00000000-0005-0000-0000-00007A020000}"/>
    <cellStyle name="標準 13 47" xfId="635" xr:uid="{00000000-0005-0000-0000-00007B020000}"/>
    <cellStyle name="標準 13 48" xfId="636" xr:uid="{00000000-0005-0000-0000-00007C020000}"/>
    <cellStyle name="標準 13 49" xfId="637" xr:uid="{00000000-0005-0000-0000-00007D020000}"/>
    <cellStyle name="標準 13 5" xfId="638" xr:uid="{00000000-0005-0000-0000-00007E020000}"/>
    <cellStyle name="標準 13 50" xfId="639" xr:uid="{00000000-0005-0000-0000-00007F020000}"/>
    <cellStyle name="標準 13 51" xfId="640" xr:uid="{00000000-0005-0000-0000-000080020000}"/>
    <cellStyle name="標準 13 52" xfId="641" xr:uid="{00000000-0005-0000-0000-000081020000}"/>
    <cellStyle name="標準 13 53" xfId="642" xr:uid="{00000000-0005-0000-0000-000082020000}"/>
    <cellStyle name="標準 13 54" xfId="643" xr:uid="{00000000-0005-0000-0000-000083020000}"/>
    <cellStyle name="標準 13 55" xfId="644" xr:uid="{00000000-0005-0000-0000-000084020000}"/>
    <cellStyle name="標準 13 56" xfId="645" xr:uid="{00000000-0005-0000-0000-000085020000}"/>
    <cellStyle name="標準 13 57" xfId="646" xr:uid="{00000000-0005-0000-0000-000086020000}"/>
    <cellStyle name="標準 13 58" xfId="647" xr:uid="{00000000-0005-0000-0000-000087020000}"/>
    <cellStyle name="標準 13 59" xfId="648" xr:uid="{00000000-0005-0000-0000-000088020000}"/>
    <cellStyle name="標準 13 6" xfId="649" xr:uid="{00000000-0005-0000-0000-000089020000}"/>
    <cellStyle name="標準 13 60" xfId="650" xr:uid="{00000000-0005-0000-0000-00008A020000}"/>
    <cellStyle name="標準 13 61" xfId="651" xr:uid="{00000000-0005-0000-0000-00008B020000}"/>
    <cellStyle name="標準 13 62" xfId="652" xr:uid="{00000000-0005-0000-0000-00008C020000}"/>
    <cellStyle name="標準 13 63" xfId="653" xr:uid="{00000000-0005-0000-0000-00008D020000}"/>
    <cellStyle name="標準 13 64" xfId="654" xr:uid="{00000000-0005-0000-0000-00008E020000}"/>
    <cellStyle name="標準 13 65" xfId="655" xr:uid="{00000000-0005-0000-0000-00008F020000}"/>
    <cellStyle name="標準 13 66" xfId="656" xr:uid="{00000000-0005-0000-0000-000090020000}"/>
    <cellStyle name="標準 13 67" xfId="657" xr:uid="{00000000-0005-0000-0000-000091020000}"/>
    <cellStyle name="標準 13 68" xfId="658" xr:uid="{00000000-0005-0000-0000-000092020000}"/>
    <cellStyle name="標準 13 69" xfId="659" xr:uid="{00000000-0005-0000-0000-000093020000}"/>
    <cellStyle name="標準 13 7" xfId="660" xr:uid="{00000000-0005-0000-0000-000094020000}"/>
    <cellStyle name="標準 13 70" xfId="661" xr:uid="{00000000-0005-0000-0000-000095020000}"/>
    <cellStyle name="標準 13 71" xfId="662" xr:uid="{00000000-0005-0000-0000-000096020000}"/>
    <cellStyle name="標準 13 72" xfId="663" xr:uid="{00000000-0005-0000-0000-000097020000}"/>
    <cellStyle name="標準 13 73" xfId="664" xr:uid="{00000000-0005-0000-0000-000098020000}"/>
    <cellStyle name="標準 13 74" xfId="665" xr:uid="{00000000-0005-0000-0000-000099020000}"/>
    <cellStyle name="標準 13 75" xfId="666" xr:uid="{00000000-0005-0000-0000-00009A020000}"/>
    <cellStyle name="標準 13 76" xfId="667" xr:uid="{00000000-0005-0000-0000-00009B020000}"/>
    <cellStyle name="標準 13 8" xfId="668" xr:uid="{00000000-0005-0000-0000-00009C020000}"/>
    <cellStyle name="標準 13 9" xfId="669" xr:uid="{00000000-0005-0000-0000-00009D020000}"/>
    <cellStyle name="標準 14 10" xfId="670" xr:uid="{00000000-0005-0000-0000-00009E020000}"/>
    <cellStyle name="標準 14 11" xfId="671" xr:uid="{00000000-0005-0000-0000-00009F020000}"/>
    <cellStyle name="標準 14 12" xfId="672" xr:uid="{00000000-0005-0000-0000-0000A0020000}"/>
    <cellStyle name="標準 14 13" xfId="673" xr:uid="{00000000-0005-0000-0000-0000A1020000}"/>
    <cellStyle name="標準 14 14" xfId="674" xr:uid="{00000000-0005-0000-0000-0000A2020000}"/>
    <cellStyle name="標準 14 15" xfId="675" xr:uid="{00000000-0005-0000-0000-0000A3020000}"/>
    <cellStyle name="標準 14 16" xfId="676" xr:uid="{00000000-0005-0000-0000-0000A4020000}"/>
    <cellStyle name="標準 14 17" xfId="677" xr:uid="{00000000-0005-0000-0000-0000A5020000}"/>
    <cellStyle name="標準 14 18" xfId="678" xr:uid="{00000000-0005-0000-0000-0000A6020000}"/>
    <cellStyle name="標準 14 2" xfId="679" xr:uid="{00000000-0005-0000-0000-0000A7020000}"/>
    <cellStyle name="標準 14 3" xfId="680" xr:uid="{00000000-0005-0000-0000-0000A8020000}"/>
    <cellStyle name="標準 14 4" xfId="681" xr:uid="{00000000-0005-0000-0000-0000A9020000}"/>
    <cellStyle name="標準 14 5" xfId="682" xr:uid="{00000000-0005-0000-0000-0000AA020000}"/>
    <cellStyle name="標準 14 6" xfId="683" xr:uid="{00000000-0005-0000-0000-0000AB020000}"/>
    <cellStyle name="標準 14 7" xfId="684" xr:uid="{00000000-0005-0000-0000-0000AC020000}"/>
    <cellStyle name="標準 14 8" xfId="685" xr:uid="{00000000-0005-0000-0000-0000AD020000}"/>
    <cellStyle name="標準 14 9" xfId="686" xr:uid="{00000000-0005-0000-0000-0000AE020000}"/>
    <cellStyle name="標準 15 2" xfId="687" xr:uid="{00000000-0005-0000-0000-0000AF020000}"/>
    <cellStyle name="標準 15 3" xfId="688" xr:uid="{00000000-0005-0000-0000-0000B0020000}"/>
    <cellStyle name="標準 15 4" xfId="689" xr:uid="{00000000-0005-0000-0000-0000B1020000}"/>
    <cellStyle name="標準 15 5" xfId="690" xr:uid="{00000000-0005-0000-0000-0000B2020000}"/>
    <cellStyle name="標準 15 6" xfId="691" xr:uid="{00000000-0005-0000-0000-0000B3020000}"/>
    <cellStyle name="標準 15 7" xfId="692" xr:uid="{00000000-0005-0000-0000-0000B4020000}"/>
    <cellStyle name="標準 2" xfId="693" xr:uid="{00000000-0005-0000-0000-0000B5020000}"/>
    <cellStyle name="標準 2 10" xfId="694" xr:uid="{00000000-0005-0000-0000-0000B6020000}"/>
    <cellStyle name="標準 2 100" xfId="695" xr:uid="{00000000-0005-0000-0000-0000B7020000}"/>
    <cellStyle name="標準 2 101" xfId="696" xr:uid="{00000000-0005-0000-0000-0000B8020000}"/>
    <cellStyle name="標準 2 102" xfId="697" xr:uid="{00000000-0005-0000-0000-0000B9020000}"/>
    <cellStyle name="標準 2 103" xfId="698" xr:uid="{00000000-0005-0000-0000-0000BA020000}"/>
    <cellStyle name="標準 2 104" xfId="699" xr:uid="{00000000-0005-0000-0000-0000BB020000}"/>
    <cellStyle name="標準 2 105" xfId="700" xr:uid="{00000000-0005-0000-0000-0000BC020000}"/>
    <cellStyle name="標準 2 106" xfId="701" xr:uid="{00000000-0005-0000-0000-0000BD020000}"/>
    <cellStyle name="標準 2 107" xfId="702" xr:uid="{00000000-0005-0000-0000-0000BE020000}"/>
    <cellStyle name="標準 2 108" xfId="703" xr:uid="{00000000-0005-0000-0000-0000BF020000}"/>
    <cellStyle name="標準 2 109" xfId="704" xr:uid="{00000000-0005-0000-0000-0000C0020000}"/>
    <cellStyle name="標準 2 11" xfId="705" xr:uid="{00000000-0005-0000-0000-0000C1020000}"/>
    <cellStyle name="標準 2 110" xfId="706" xr:uid="{00000000-0005-0000-0000-0000C2020000}"/>
    <cellStyle name="標準 2 111" xfId="707" xr:uid="{00000000-0005-0000-0000-0000C3020000}"/>
    <cellStyle name="標準 2 112" xfId="708" xr:uid="{00000000-0005-0000-0000-0000C4020000}"/>
    <cellStyle name="標準 2 113" xfId="709" xr:uid="{00000000-0005-0000-0000-0000C5020000}"/>
    <cellStyle name="標準 2 114" xfId="710" xr:uid="{00000000-0005-0000-0000-0000C6020000}"/>
    <cellStyle name="標準 2 115" xfId="711" xr:uid="{00000000-0005-0000-0000-0000C7020000}"/>
    <cellStyle name="標準 2 116" xfId="712" xr:uid="{00000000-0005-0000-0000-0000C8020000}"/>
    <cellStyle name="標準 2 117" xfId="713" xr:uid="{00000000-0005-0000-0000-0000C9020000}"/>
    <cellStyle name="標準 2 118" xfId="714" xr:uid="{00000000-0005-0000-0000-0000CA020000}"/>
    <cellStyle name="標準 2 119" xfId="715" xr:uid="{00000000-0005-0000-0000-0000CB020000}"/>
    <cellStyle name="標準 2 12" xfId="716" xr:uid="{00000000-0005-0000-0000-0000CC020000}"/>
    <cellStyle name="標準 2 120" xfId="717" xr:uid="{00000000-0005-0000-0000-0000CD020000}"/>
    <cellStyle name="標準 2 121" xfId="718" xr:uid="{00000000-0005-0000-0000-0000CE020000}"/>
    <cellStyle name="標準 2 122" xfId="719" xr:uid="{00000000-0005-0000-0000-0000CF020000}"/>
    <cellStyle name="標準 2 13" xfId="720" xr:uid="{00000000-0005-0000-0000-0000D0020000}"/>
    <cellStyle name="標準 2 14" xfId="721" xr:uid="{00000000-0005-0000-0000-0000D1020000}"/>
    <cellStyle name="標準 2 15" xfId="722" xr:uid="{00000000-0005-0000-0000-0000D2020000}"/>
    <cellStyle name="標準 2 16" xfId="723" xr:uid="{00000000-0005-0000-0000-0000D3020000}"/>
    <cellStyle name="標準 2 17" xfId="724" xr:uid="{00000000-0005-0000-0000-0000D4020000}"/>
    <cellStyle name="標準 2 18" xfId="725" xr:uid="{00000000-0005-0000-0000-0000D5020000}"/>
    <cellStyle name="標準 2 19" xfId="726" xr:uid="{00000000-0005-0000-0000-0000D6020000}"/>
    <cellStyle name="標準 2 2" xfId="727" xr:uid="{00000000-0005-0000-0000-0000D7020000}"/>
    <cellStyle name="標準 2 2 10" xfId="728" xr:uid="{00000000-0005-0000-0000-0000D8020000}"/>
    <cellStyle name="標準 2 2 11" xfId="729" xr:uid="{00000000-0005-0000-0000-0000D9020000}"/>
    <cellStyle name="標準 2 2 12" xfId="730" xr:uid="{00000000-0005-0000-0000-0000DA020000}"/>
    <cellStyle name="標準 2 2 13" xfId="731" xr:uid="{00000000-0005-0000-0000-0000DB020000}"/>
    <cellStyle name="標準 2 2 14" xfId="732" xr:uid="{00000000-0005-0000-0000-0000DC020000}"/>
    <cellStyle name="標準 2 2 15" xfId="733" xr:uid="{00000000-0005-0000-0000-0000DD020000}"/>
    <cellStyle name="標準 2 2 16" xfId="734" xr:uid="{00000000-0005-0000-0000-0000DE020000}"/>
    <cellStyle name="標準 2 2 17" xfId="735" xr:uid="{00000000-0005-0000-0000-0000DF020000}"/>
    <cellStyle name="標準 2 2 18" xfId="736" xr:uid="{00000000-0005-0000-0000-0000E0020000}"/>
    <cellStyle name="標準 2 2 19" xfId="737" xr:uid="{00000000-0005-0000-0000-0000E1020000}"/>
    <cellStyle name="標準 2 2 2" xfId="738" xr:uid="{00000000-0005-0000-0000-0000E2020000}"/>
    <cellStyle name="標準 2 2 2 2" xfId="739" xr:uid="{00000000-0005-0000-0000-0000E3020000}"/>
    <cellStyle name="標準 2 2 2 3" xfId="740" xr:uid="{00000000-0005-0000-0000-0000E4020000}"/>
    <cellStyle name="標準 2 2 2 4" xfId="741" xr:uid="{00000000-0005-0000-0000-0000E5020000}"/>
    <cellStyle name="標準 2 2 20" xfId="742" xr:uid="{00000000-0005-0000-0000-0000E6020000}"/>
    <cellStyle name="標準 2 2 21" xfId="743" xr:uid="{00000000-0005-0000-0000-0000E7020000}"/>
    <cellStyle name="標準 2 2 22" xfId="744" xr:uid="{00000000-0005-0000-0000-0000E8020000}"/>
    <cellStyle name="標準 2 2 23" xfId="745" xr:uid="{00000000-0005-0000-0000-0000E9020000}"/>
    <cellStyle name="標準 2 2 24" xfId="746" xr:uid="{00000000-0005-0000-0000-0000EA020000}"/>
    <cellStyle name="標準 2 2 25" xfId="747" xr:uid="{00000000-0005-0000-0000-0000EB020000}"/>
    <cellStyle name="標準 2 2 26" xfId="748" xr:uid="{00000000-0005-0000-0000-0000EC020000}"/>
    <cellStyle name="標準 2 2 27" xfId="749" xr:uid="{00000000-0005-0000-0000-0000ED020000}"/>
    <cellStyle name="標準 2 2 28" xfId="750" xr:uid="{00000000-0005-0000-0000-0000EE020000}"/>
    <cellStyle name="標準 2 2 29" xfId="751" xr:uid="{00000000-0005-0000-0000-0000EF020000}"/>
    <cellStyle name="標準 2 2 3" xfId="752" xr:uid="{00000000-0005-0000-0000-0000F0020000}"/>
    <cellStyle name="標準 2 2 30" xfId="753" xr:uid="{00000000-0005-0000-0000-0000F1020000}"/>
    <cellStyle name="標準 2 2 31" xfId="754" xr:uid="{00000000-0005-0000-0000-0000F2020000}"/>
    <cellStyle name="標準 2 2 32" xfId="755" xr:uid="{00000000-0005-0000-0000-0000F3020000}"/>
    <cellStyle name="標準 2 2 33" xfId="756" xr:uid="{00000000-0005-0000-0000-0000F4020000}"/>
    <cellStyle name="標準 2 2 4" xfId="757" xr:uid="{00000000-0005-0000-0000-0000F5020000}"/>
    <cellStyle name="標準 2 2 5" xfId="758" xr:uid="{00000000-0005-0000-0000-0000F6020000}"/>
    <cellStyle name="標準 2 2 6" xfId="759" xr:uid="{00000000-0005-0000-0000-0000F7020000}"/>
    <cellStyle name="標準 2 2 7" xfId="760" xr:uid="{00000000-0005-0000-0000-0000F8020000}"/>
    <cellStyle name="標準 2 2 8" xfId="761" xr:uid="{00000000-0005-0000-0000-0000F9020000}"/>
    <cellStyle name="標準 2 2 9" xfId="762" xr:uid="{00000000-0005-0000-0000-0000FA020000}"/>
    <cellStyle name="標準 2 20" xfId="763" xr:uid="{00000000-0005-0000-0000-0000FB020000}"/>
    <cellStyle name="標準 2 21" xfId="764" xr:uid="{00000000-0005-0000-0000-0000FC020000}"/>
    <cellStyle name="標準 2 22" xfId="765" xr:uid="{00000000-0005-0000-0000-0000FD020000}"/>
    <cellStyle name="標準 2 23" xfId="766" xr:uid="{00000000-0005-0000-0000-0000FE020000}"/>
    <cellStyle name="標準 2 24" xfId="767" xr:uid="{00000000-0005-0000-0000-0000FF020000}"/>
    <cellStyle name="標準 2 25" xfId="768" xr:uid="{00000000-0005-0000-0000-000000030000}"/>
    <cellStyle name="標準 2 26" xfId="769" xr:uid="{00000000-0005-0000-0000-000001030000}"/>
    <cellStyle name="標準 2 27" xfId="770" xr:uid="{00000000-0005-0000-0000-000002030000}"/>
    <cellStyle name="標準 2 28" xfId="771" xr:uid="{00000000-0005-0000-0000-000003030000}"/>
    <cellStyle name="標準 2 29" xfId="772" xr:uid="{00000000-0005-0000-0000-000004030000}"/>
    <cellStyle name="標準 2 3" xfId="773" xr:uid="{00000000-0005-0000-0000-000005030000}"/>
    <cellStyle name="標準 2 3 2" xfId="774" xr:uid="{00000000-0005-0000-0000-000006030000}"/>
    <cellStyle name="標準 2 30" xfId="775" xr:uid="{00000000-0005-0000-0000-000007030000}"/>
    <cellStyle name="標準 2 31" xfId="776" xr:uid="{00000000-0005-0000-0000-000008030000}"/>
    <cellStyle name="標準 2 32" xfId="777" xr:uid="{00000000-0005-0000-0000-000009030000}"/>
    <cellStyle name="標準 2 33" xfId="778" xr:uid="{00000000-0005-0000-0000-00000A030000}"/>
    <cellStyle name="標準 2 34" xfId="779" xr:uid="{00000000-0005-0000-0000-00000B030000}"/>
    <cellStyle name="標準 2 35" xfId="780" xr:uid="{00000000-0005-0000-0000-00000C030000}"/>
    <cellStyle name="標準 2 36" xfId="781" xr:uid="{00000000-0005-0000-0000-00000D030000}"/>
    <cellStyle name="標準 2 37" xfId="782" xr:uid="{00000000-0005-0000-0000-00000E030000}"/>
    <cellStyle name="標準 2 38" xfId="783" xr:uid="{00000000-0005-0000-0000-00000F030000}"/>
    <cellStyle name="標準 2 39" xfId="784" xr:uid="{00000000-0005-0000-0000-000010030000}"/>
    <cellStyle name="標準 2 4" xfId="785" xr:uid="{00000000-0005-0000-0000-000011030000}"/>
    <cellStyle name="標準 2 40" xfId="786" xr:uid="{00000000-0005-0000-0000-000012030000}"/>
    <cellStyle name="標準 2 41" xfId="787" xr:uid="{00000000-0005-0000-0000-000013030000}"/>
    <cellStyle name="標準 2 42" xfId="788" xr:uid="{00000000-0005-0000-0000-000014030000}"/>
    <cellStyle name="標準 2 43" xfId="789" xr:uid="{00000000-0005-0000-0000-000015030000}"/>
    <cellStyle name="標準 2 44" xfId="790" xr:uid="{00000000-0005-0000-0000-000016030000}"/>
    <cellStyle name="標準 2 45" xfId="791" xr:uid="{00000000-0005-0000-0000-000017030000}"/>
    <cellStyle name="標準 2 46" xfId="792" xr:uid="{00000000-0005-0000-0000-000018030000}"/>
    <cellStyle name="標準 2 47" xfId="793" xr:uid="{00000000-0005-0000-0000-000019030000}"/>
    <cellStyle name="標準 2 48" xfId="794" xr:uid="{00000000-0005-0000-0000-00001A030000}"/>
    <cellStyle name="標準 2 49" xfId="795" xr:uid="{00000000-0005-0000-0000-00001B030000}"/>
    <cellStyle name="標準 2 5" xfId="796" xr:uid="{00000000-0005-0000-0000-00001C030000}"/>
    <cellStyle name="標準 2 50" xfId="797" xr:uid="{00000000-0005-0000-0000-00001D030000}"/>
    <cellStyle name="標準 2 51" xfId="798" xr:uid="{00000000-0005-0000-0000-00001E030000}"/>
    <cellStyle name="標準 2 52" xfId="799" xr:uid="{00000000-0005-0000-0000-00001F030000}"/>
    <cellStyle name="標準 2 53" xfId="800" xr:uid="{00000000-0005-0000-0000-000020030000}"/>
    <cellStyle name="標準 2 54" xfId="801" xr:uid="{00000000-0005-0000-0000-000021030000}"/>
    <cellStyle name="標準 2 55" xfId="802" xr:uid="{00000000-0005-0000-0000-000022030000}"/>
    <cellStyle name="標準 2 56" xfId="803" xr:uid="{00000000-0005-0000-0000-000023030000}"/>
    <cellStyle name="標準 2 57" xfId="804" xr:uid="{00000000-0005-0000-0000-000024030000}"/>
    <cellStyle name="標準 2 58" xfId="805" xr:uid="{00000000-0005-0000-0000-000025030000}"/>
    <cellStyle name="標準 2 59" xfId="806" xr:uid="{00000000-0005-0000-0000-000026030000}"/>
    <cellStyle name="標準 2 6" xfId="807" xr:uid="{00000000-0005-0000-0000-000027030000}"/>
    <cellStyle name="標準 2 60" xfId="808" xr:uid="{00000000-0005-0000-0000-000028030000}"/>
    <cellStyle name="標準 2 61" xfId="809" xr:uid="{00000000-0005-0000-0000-000029030000}"/>
    <cellStyle name="標準 2 62" xfId="810" xr:uid="{00000000-0005-0000-0000-00002A030000}"/>
    <cellStyle name="標準 2 63" xfId="811" xr:uid="{00000000-0005-0000-0000-00002B030000}"/>
    <cellStyle name="標準 2 64" xfId="812" xr:uid="{00000000-0005-0000-0000-00002C030000}"/>
    <cellStyle name="標準 2 65" xfId="813" xr:uid="{00000000-0005-0000-0000-00002D030000}"/>
    <cellStyle name="標準 2 66" xfId="814" xr:uid="{00000000-0005-0000-0000-00002E030000}"/>
    <cellStyle name="標準 2 67" xfId="815" xr:uid="{00000000-0005-0000-0000-00002F030000}"/>
    <cellStyle name="標準 2 68" xfId="816" xr:uid="{00000000-0005-0000-0000-000030030000}"/>
    <cellStyle name="標準 2 69" xfId="817" xr:uid="{00000000-0005-0000-0000-000031030000}"/>
    <cellStyle name="標準 2 7" xfId="818" xr:uid="{00000000-0005-0000-0000-000032030000}"/>
    <cellStyle name="標準 2 70" xfId="819" xr:uid="{00000000-0005-0000-0000-000033030000}"/>
    <cellStyle name="標準 2 71" xfId="820" xr:uid="{00000000-0005-0000-0000-000034030000}"/>
    <cellStyle name="標準 2 72" xfId="821" xr:uid="{00000000-0005-0000-0000-000035030000}"/>
    <cellStyle name="標準 2 73" xfId="822" xr:uid="{00000000-0005-0000-0000-000036030000}"/>
    <cellStyle name="標準 2 74" xfId="823" xr:uid="{00000000-0005-0000-0000-000037030000}"/>
    <cellStyle name="標準 2 75" xfId="824" xr:uid="{00000000-0005-0000-0000-000038030000}"/>
    <cellStyle name="標準 2 76" xfId="825" xr:uid="{00000000-0005-0000-0000-000039030000}"/>
    <cellStyle name="標準 2 77" xfId="826" xr:uid="{00000000-0005-0000-0000-00003A030000}"/>
    <cellStyle name="標準 2 78" xfId="827" xr:uid="{00000000-0005-0000-0000-00003B030000}"/>
    <cellStyle name="標準 2 79" xfId="828" xr:uid="{00000000-0005-0000-0000-00003C030000}"/>
    <cellStyle name="標準 2 8" xfId="829" xr:uid="{00000000-0005-0000-0000-00003D030000}"/>
    <cellStyle name="標準 2 80" xfId="830" xr:uid="{00000000-0005-0000-0000-00003E030000}"/>
    <cellStyle name="標準 2 81" xfId="831" xr:uid="{00000000-0005-0000-0000-00003F030000}"/>
    <cellStyle name="標準 2 82" xfId="832" xr:uid="{00000000-0005-0000-0000-000040030000}"/>
    <cellStyle name="標準 2 83" xfId="833" xr:uid="{00000000-0005-0000-0000-000041030000}"/>
    <cellStyle name="標準 2 84" xfId="834" xr:uid="{00000000-0005-0000-0000-000042030000}"/>
    <cellStyle name="標準 2 85" xfId="835" xr:uid="{00000000-0005-0000-0000-000043030000}"/>
    <cellStyle name="標準 2 86" xfId="836" xr:uid="{00000000-0005-0000-0000-000044030000}"/>
    <cellStyle name="標準 2 87" xfId="837" xr:uid="{00000000-0005-0000-0000-000045030000}"/>
    <cellStyle name="標準 2 88" xfId="838" xr:uid="{00000000-0005-0000-0000-000046030000}"/>
    <cellStyle name="標準 2 89" xfId="839" xr:uid="{00000000-0005-0000-0000-000047030000}"/>
    <cellStyle name="標準 2 9" xfId="840" xr:uid="{00000000-0005-0000-0000-000048030000}"/>
    <cellStyle name="標準 2 90" xfId="841" xr:uid="{00000000-0005-0000-0000-000049030000}"/>
    <cellStyle name="標準 2 91" xfId="842" xr:uid="{00000000-0005-0000-0000-00004A030000}"/>
    <cellStyle name="標準 2 92" xfId="843" xr:uid="{00000000-0005-0000-0000-00004B030000}"/>
    <cellStyle name="標準 2 93" xfId="844" xr:uid="{00000000-0005-0000-0000-00004C030000}"/>
    <cellStyle name="標準 2 94" xfId="845" xr:uid="{00000000-0005-0000-0000-00004D030000}"/>
    <cellStyle name="標準 2 95" xfId="846" xr:uid="{00000000-0005-0000-0000-00004E030000}"/>
    <cellStyle name="標準 2 96" xfId="847" xr:uid="{00000000-0005-0000-0000-00004F030000}"/>
    <cellStyle name="標準 2 97" xfId="848" xr:uid="{00000000-0005-0000-0000-000050030000}"/>
    <cellStyle name="標準 2 98" xfId="849" xr:uid="{00000000-0005-0000-0000-000051030000}"/>
    <cellStyle name="標準 2 99" xfId="850" xr:uid="{00000000-0005-0000-0000-000052030000}"/>
    <cellStyle name="標準 3" xfId="851" xr:uid="{00000000-0005-0000-0000-000053030000}"/>
    <cellStyle name="標準 4" xfId="852" xr:uid="{00000000-0005-0000-0000-000054030000}"/>
    <cellStyle name="標準 5" xfId="853" xr:uid="{00000000-0005-0000-0000-000055030000}"/>
    <cellStyle name="標準 5 2" xfId="854" xr:uid="{00000000-0005-0000-0000-000056030000}"/>
    <cellStyle name="標準 6" xfId="855" xr:uid="{00000000-0005-0000-0000-000057030000}"/>
    <cellStyle name="標準 6 2" xfId="856" xr:uid="{00000000-0005-0000-0000-000058030000}"/>
    <cellStyle name="標準 6_Book3" xfId="857" xr:uid="{00000000-0005-0000-0000-000059030000}"/>
    <cellStyle name="標準 7" xfId="858" xr:uid="{00000000-0005-0000-0000-00005A030000}"/>
    <cellStyle name="標準 7 2" xfId="859" xr:uid="{00000000-0005-0000-0000-00005B030000}"/>
    <cellStyle name="標準 8" xfId="860" xr:uid="{00000000-0005-0000-0000-00005C030000}"/>
    <cellStyle name="標準 8 10" xfId="861" xr:uid="{00000000-0005-0000-0000-00005D030000}"/>
    <cellStyle name="標準 8 11" xfId="862" xr:uid="{00000000-0005-0000-0000-00005E030000}"/>
    <cellStyle name="標準 8 12" xfId="863" xr:uid="{00000000-0005-0000-0000-00005F030000}"/>
    <cellStyle name="標準 8 13" xfId="864" xr:uid="{00000000-0005-0000-0000-000060030000}"/>
    <cellStyle name="標準 8 14" xfId="865" xr:uid="{00000000-0005-0000-0000-000061030000}"/>
    <cellStyle name="標準 8 15" xfId="866" xr:uid="{00000000-0005-0000-0000-000062030000}"/>
    <cellStyle name="標準 8 16" xfId="867" xr:uid="{00000000-0005-0000-0000-000063030000}"/>
    <cellStyle name="標準 8 17" xfId="868" xr:uid="{00000000-0005-0000-0000-000064030000}"/>
    <cellStyle name="標準 8 18" xfId="869" xr:uid="{00000000-0005-0000-0000-000065030000}"/>
    <cellStyle name="標準 8 19" xfId="870" xr:uid="{00000000-0005-0000-0000-000066030000}"/>
    <cellStyle name="標準 8 2" xfId="871" xr:uid="{00000000-0005-0000-0000-000067030000}"/>
    <cellStyle name="標準 8 20" xfId="872" xr:uid="{00000000-0005-0000-0000-000068030000}"/>
    <cellStyle name="標準 8 21" xfId="873" xr:uid="{00000000-0005-0000-0000-000069030000}"/>
    <cellStyle name="標準 8 22" xfId="874" xr:uid="{00000000-0005-0000-0000-00006A030000}"/>
    <cellStyle name="標準 8 23" xfId="875" xr:uid="{00000000-0005-0000-0000-00006B030000}"/>
    <cellStyle name="標準 8 24" xfId="876" xr:uid="{00000000-0005-0000-0000-00006C030000}"/>
    <cellStyle name="標準 8 25" xfId="877" xr:uid="{00000000-0005-0000-0000-00006D030000}"/>
    <cellStyle name="標準 8 26" xfId="878" xr:uid="{00000000-0005-0000-0000-00006E030000}"/>
    <cellStyle name="標準 8 27" xfId="879" xr:uid="{00000000-0005-0000-0000-00006F030000}"/>
    <cellStyle name="標準 8 28" xfId="880" xr:uid="{00000000-0005-0000-0000-000070030000}"/>
    <cellStyle name="標準 8 29" xfId="881" xr:uid="{00000000-0005-0000-0000-000071030000}"/>
    <cellStyle name="標準 8 3" xfId="882" xr:uid="{00000000-0005-0000-0000-000072030000}"/>
    <cellStyle name="標準 8 30" xfId="883" xr:uid="{00000000-0005-0000-0000-000073030000}"/>
    <cellStyle name="標準 8 31" xfId="884" xr:uid="{00000000-0005-0000-0000-000074030000}"/>
    <cellStyle name="標準 8 32" xfId="885" xr:uid="{00000000-0005-0000-0000-000075030000}"/>
    <cellStyle name="標準 8 33" xfId="886" xr:uid="{00000000-0005-0000-0000-000076030000}"/>
    <cellStyle name="標準 8 34" xfId="887" xr:uid="{00000000-0005-0000-0000-000077030000}"/>
    <cellStyle name="標準 8 35" xfId="888" xr:uid="{00000000-0005-0000-0000-000078030000}"/>
    <cellStyle name="標準 8 36" xfId="889" xr:uid="{00000000-0005-0000-0000-000079030000}"/>
    <cellStyle name="標準 8 37" xfId="890" xr:uid="{00000000-0005-0000-0000-00007A030000}"/>
    <cellStyle name="標準 8 38" xfId="891" xr:uid="{00000000-0005-0000-0000-00007B030000}"/>
    <cellStyle name="標準 8 39" xfId="892" xr:uid="{00000000-0005-0000-0000-00007C030000}"/>
    <cellStyle name="標準 8 4" xfId="893" xr:uid="{00000000-0005-0000-0000-00007D030000}"/>
    <cellStyle name="標準 8 40" xfId="894" xr:uid="{00000000-0005-0000-0000-00007E030000}"/>
    <cellStyle name="標準 8 41" xfId="895" xr:uid="{00000000-0005-0000-0000-00007F030000}"/>
    <cellStyle name="標準 8 42" xfId="896" xr:uid="{00000000-0005-0000-0000-000080030000}"/>
    <cellStyle name="標準 8 43" xfId="897" xr:uid="{00000000-0005-0000-0000-000081030000}"/>
    <cellStyle name="標準 8 44" xfId="898" xr:uid="{00000000-0005-0000-0000-000082030000}"/>
    <cellStyle name="標準 8 45" xfId="899" xr:uid="{00000000-0005-0000-0000-000083030000}"/>
    <cellStyle name="標準 8 46" xfId="900" xr:uid="{00000000-0005-0000-0000-000084030000}"/>
    <cellStyle name="標準 8 47" xfId="901" xr:uid="{00000000-0005-0000-0000-000085030000}"/>
    <cellStyle name="標準 8 48" xfId="902" xr:uid="{00000000-0005-0000-0000-000086030000}"/>
    <cellStyle name="標準 8 49" xfId="903" xr:uid="{00000000-0005-0000-0000-000087030000}"/>
    <cellStyle name="標準 8 5" xfId="904" xr:uid="{00000000-0005-0000-0000-000088030000}"/>
    <cellStyle name="標準 8 50" xfId="905" xr:uid="{00000000-0005-0000-0000-000089030000}"/>
    <cellStyle name="標準 8 51" xfId="906" xr:uid="{00000000-0005-0000-0000-00008A030000}"/>
    <cellStyle name="標準 8 52" xfId="907" xr:uid="{00000000-0005-0000-0000-00008B030000}"/>
    <cellStyle name="標準 8 53" xfId="908" xr:uid="{00000000-0005-0000-0000-00008C030000}"/>
    <cellStyle name="標準 8 54" xfId="909" xr:uid="{00000000-0005-0000-0000-00008D030000}"/>
    <cellStyle name="標準 8 55" xfId="910" xr:uid="{00000000-0005-0000-0000-00008E030000}"/>
    <cellStyle name="標準 8 56" xfId="911" xr:uid="{00000000-0005-0000-0000-00008F030000}"/>
    <cellStyle name="標準 8 57" xfId="912" xr:uid="{00000000-0005-0000-0000-000090030000}"/>
    <cellStyle name="標準 8 58" xfId="913" xr:uid="{00000000-0005-0000-0000-000091030000}"/>
    <cellStyle name="標準 8 59" xfId="914" xr:uid="{00000000-0005-0000-0000-000092030000}"/>
    <cellStyle name="標準 8 6" xfId="915" xr:uid="{00000000-0005-0000-0000-000093030000}"/>
    <cellStyle name="標準 8 60" xfId="916" xr:uid="{00000000-0005-0000-0000-000094030000}"/>
    <cellStyle name="標準 8 61" xfId="917" xr:uid="{00000000-0005-0000-0000-000095030000}"/>
    <cellStyle name="標準 8 62" xfId="918" xr:uid="{00000000-0005-0000-0000-000096030000}"/>
    <cellStyle name="標準 8 63" xfId="919" xr:uid="{00000000-0005-0000-0000-000097030000}"/>
    <cellStyle name="標準 8 64" xfId="920" xr:uid="{00000000-0005-0000-0000-000098030000}"/>
    <cellStyle name="標準 8 65" xfId="921" xr:uid="{00000000-0005-0000-0000-000099030000}"/>
    <cellStyle name="標準 8 66" xfId="922" xr:uid="{00000000-0005-0000-0000-00009A030000}"/>
    <cellStyle name="標準 8 67" xfId="923" xr:uid="{00000000-0005-0000-0000-00009B030000}"/>
    <cellStyle name="標準 8 68" xfId="924" xr:uid="{00000000-0005-0000-0000-00009C030000}"/>
    <cellStyle name="標準 8 69" xfId="925" xr:uid="{00000000-0005-0000-0000-00009D030000}"/>
    <cellStyle name="標準 8 7" xfId="926" xr:uid="{00000000-0005-0000-0000-00009E030000}"/>
    <cellStyle name="標準 8 70" xfId="927" xr:uid="{00000000-0005-0000-0000-00009F030000}"/>
    <cellStyle name="標準 8 71" xfId="928" xr:uid="{00000000-0005-0000-0000-0000A0030000}"/>
    <cellStyle name="標準 8 72" xfId="929" xr:uid="{00000000-0005-0000-0000-0000A1030000}"/>
    <cellStyle name="標準 8 73" xfId="930" xr:uid="{00000000-0005-0000-0000-0000A2030000}"/>
    <cellStyle name="標準 8 74" xfId="931" xr:uid="{00000000-0005-0000-0000-0000A3030000}"/>
    <cellStyle name="標準 8 75" xfId="932" xr:uid="{00000000-0005-0000-0000-0000A4030000}"/>
    <cellStyle name="標準 8 76" xfId="933" xr:uid="{00000000-0005-0000-0000-0000A5030000}"/>
    <cellStyle name="標準 8 8" xfId="934" xr:uid="{00000000-0005-0000-0000-0000A6030000}"/>
    <cellStyle name="標準 8 9" xfId="935" xr:uid="{00000000-0005-0000-0000-0000A7030000}"/>
    <cellStyle name="標準 9" xfId="936" xr:uid="{00000000-0005-0000-0000-0000A8030000}"/>
    <cellStyle name="良い 2" xfId="937" xr:uid="{00000000-0005-0000-0000-0000A9030000}"/>
    <cellStyle name="良い 2 2" xfId="938" xr:uid="{00000000-0005-0000-0000-0000AA030000}"/>
    <cellStyle name="良い 2 3" xfId="939" xr:uid="{00000000-0005-0000-0000-0000AB030000}"/>
    <cellStyle name="良い 2 4" xfId="940" xr:uid="{00000000-0005-0000-0000-0000AC030000}"/>
    <cellStyle name="良い 2 5" xfId="941" xr:uid="{00000000-0005-0000-0000-0000AD030000}"/>
    <cellStyle name="良い 2 6" xfId="942" xr:uid="{00000000-0005-0000-0000-0000AE030000}"/>
    <cellStyle name="良い 2 7" xfId="943" xr:uid="{00000000-0005-0000-0000-0000AF030000}"/>
    <cellStyle name="良い 2 8" xfId="944" xr:uid="{00000000-0005-0000-0000-0000B0030000}"/>
    <cellStyle name="良い 2 9" xfId="945" xr:uid="{00000000-0005-0000-0000-0000B1030000}"/>
    <cellStyle name="良い 3" xfId="946" xr:uid="{00000000-0005-0000-0000-0000B2030000}"/>
    <cellStyle name="良い 4" xfId="947" xr:uid="{00000000-0005-0000-0000-0000B3030000}"/>
    <cellStyle name="良い 5" xfId="948" xr:uid="{00000000-0005-0000-0000-0000B4030000}"/>
    <cellStyle name="良い 6" xfId="949" xr:uid="{00000000-0005-0000-0000-0000B5030000}"/>
    <cellStyle name="良い 7" xfId="950" xr:uid="{00000000-0005-0000-0000-0000B6030000}"/>
    <cellStyle name="良い 8" xfId="951" xr:uid="{00000000-0005-0000-0000-0000B7030000}"/>
    <cellStyle name="良い 9" xfId="952" xr:uid="{00000000-0005-0000-0000-0000B803000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10685207098393332"/>
          <c:y val="1.4244123527955354E-2"/>
          <c:w val="0.89314792901606666"/>
          <c:h val="0.94886051217718348"/>
        </c:manualLayout>
      </c:layout>
      <c:scatterChart>
        <c:scatterStyle val="lineMarker"/>
        <c:varyColors val="0"/>
        <c:ser>
          <c:idx val="0"/>
          <c:order val="0"/>
          <c:tx>
            <c:v>  u/uH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Inflow!$H$3:$H$19</c:f>
              <c:numCache>
                <c:formatCode>0.00</c:formatCode>
                <c:ptCount val="17"/>
                <c:pt idx="0">
                  <c:v>0.19868</c:v>
                </c:pt>
                <c:pt idx="1">
                  <c:v>0.25151000000000001</c:v>
                </c:pt>
                <c:pt idx="2">
                  <c:v>0.34727999999999998</c:v>
                </c:pt>
                <c:pt idx="3">
                  <c:v>0.77690000000000003</c:v>
                </c:pt>
                <c:pt idx="4">
                  <c:v>0.87868999999999997</c:v>
                </c:pt>
                <c:pt idx="5">
                  <c:v>0.90781000000000001</c:v>
                </c:pt>
                <c:pt idx="6">
                  <c:v>0.98043999999999998</c:v>
                </c:pt>
                <c:pt idx="7">
                  <c:v>0.97485999999999995</c:v>
                </c:pt>
                <c:pt idx="8">
                  <c:v>1</c:v>
                </c:pt>
                <c:pt idx="9">
                  <c:v>1.01359</c:v>
                </c:pt>
                <c:pt idx="10">
                  <c:v>1.0058800000000001</c:v>
                </c:pt>
                <c:pt idx="11">
                  <c:v>1.0817699999999999</c:v>
                </c:pt>
                <c:pt idx="12">
                  <c:v>1.1394200000000001</c:v>
                </c:pt>
                <c:pt idx="13">
                  <c:v>1.1998899999999999</c:v>
                </c:pt>
                <c:pt idx="14">
                  <c:v>1.2387900000000001</c:v>
                </c:pt>
                <c:pt idx="15">
                  <c:v>1.3239700000000001</c:v>
                </c:pt>
                <c:pt idx="16">
                  <c:v>1.3357600000000001</c:v>
                </c:pt>
              </c:numCache>
            </c:numRef>
          </c:xVal>
          <c:yVal>
            <c:numRef>
              <c:f>Inflow!$G$3:$G$19</c:f>
              <c:numCache>
                <c:formatCode>General</c:formatCode>
                <c:ptCount val="17"/>
                <c:pt idx="0">
                  <c:v>0.05</c:v>
                </c:pt>
                <c:pt idx="1">
                  <c:v>6.5000000000000002E-2</c:v>
                </c:pt>
                <c:pt idx="2">
                  <c:v>0.125</c:v>
                </c:pt>
                <c:pt idx="3">
                  <c:v>0.375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1.125</c:v>
                </c:pt>
                <c:pt idx="11">
                  <c:v>1.25</c:v>
                </c:pt>
                <c:pt idx="12">
                  <c:v>1.5</c:v>
                </c:pt>
                <c:pt idx="13">
                  <c:v>1.75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EA-4B95-9C17-E19FEC72B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192304"/>
        <c:axId val="1"/>
      </c:scatterChart>
      <c:valAx>
        <c:axId val="442192304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 u/uH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-100"/>
        <c:crossBetween val="midCat"/>
      </c:valAx>
      <c:valAx>
        <c:axId val="1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z/H</a:t>
                </a:r>
              </a:p>
            </c:rich>
          </c:tx>
          <c:overlay val="0"/>
        </c:title>
        <c:numFmt formatCode="#,##0.0_);\-#,##0.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400" b="0" i="0">
                <a:latin typeface="Arial"/>
                <a:ea typeface="Arial"/>
                <a:cs typeface="Arial"/>
              </a:defRPr>
            </a:pPr>
            <a:endParaRPr lang="ja-JP"/>
          </a:p>
        </c:txPr>
        <c:crossAx val="442192304"/>
        <c:crossesAt val="-10"/>
        <c:crossBetween val="midCat"/>
        <c:maj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9843849518810152"/>
          <c:y val="1.4244176509186352E-2"/>
          <c:w val="0.50156150481189843"/>
          <c:h val="9.9708825459317585E-2"/>
        </c:manualLayout>
      </c:layout>
      <c:overlay val="0"/>
    </c:legend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159749070834825E-2"/>
          <c:y val="1.4244123527955354E-2"/>
          <c:w val="0.91840250929165179"/>
          <c:h val="0.94886051217718348"/>
        </c:manualLayout>
      </c:layout>
      <c:scatterChart>
        <c:scatterStyle val="lineMarker"/>
        <c:varyColors val="0"/>
        <c:ser>
          <c:idx val="0"/>
          <c:order val="0"/>
          <c:tx>
            <c:v> v/uH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Inflow!$I$3:$I$19</c:f>
              <c:numCache>
                <c:formatCode>0.00</c:formatCode>
                <c:ptCount val="17"/>
                <c:pt idx="0">
                  <c:v>1.891E-2</c:v>
                </c:pt>
                <c:pt idx="1">
                  <c:v>9.2300000000000004E-3</c:v>
                </c:pt>
                <c:pt idx="2">
                  <c:v>2.6030000000000001E-2</c:v>
                </c:pt>
                <c:pt idx="3">
                  <c:v>2.162E-2</c:v>
                </c:pt>
                <c:pt idx="4">
                  <c:v>1.9720000000000001E-2</c:v>
                </c:pt>
                <c:pt idx="5">
                  <c:v>1.9820000000000001E-2</c:v>
                </c:pt>
                <c:pt idx="6">
                  <c:v>1.2749999999999999E-2</c:v>
                </c:pt>
                <c:pt idx="7">
                  <c:v>1.299E-2</c:v>
                </c:pt>
                <c:pt idx="8">
                  <c:v>1.6760000000000001E-2</c:v>
                </c:pt>
                <c:pt idx="9">
                  <c:v>1.349E-2</c:v>
                </c:pt>
                <c:pt idx="10">
                  <c:v>1.6459999999999999E-2</c:v>
                </c:pt>
                <c:pt idx="11">
                  <c:v>1.498E-2</c:v>
                </c:pt>
                <c:pt idx="12">
                  <c:v>1.6080000000000001E-2</c:v>
                </c:pt>
                <c:pt idx="13">
                  <c:v>1.0460000000000001E-2</c:v>
                </c:pt>
                <c:pt idx="14">
                  <c:v>9.8499999999999994E-3</c:v>
                </c:pt>
                <c:pt idx="15">
                  <c:v>-2.49E-3</c:v>
                </c:pt>
                <c:pt idx="16">
                  <c:v>-7.0000000000000001E-3</c:v>
                </c:pt>
              </c:numCache>
            </c:numRef>
          </c:xVal>
          <c:yVal>
            <c:numRef>
              <c:f>Inflow!$G$3:$G$19</c:f>
              <c:numCache>
                <c:formatCode>General</c:formatCode>
                <c:ptCount val="17"/>
                <c:pt idx="0">
                  <c:v>0.05</c:v>
                </c:pt>
                <c:pt idx="1">
                  <c:v>6.5000000000000002E-2</c:v>
                </c:pt>
                <c:pt idx="2">
                  <c:v>0.125</c:v>
                </c:pt>
                <c:pt idx="3">
                  <c:v>0.375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1.125</c:v>
                </c:pt>
                <c:pt idx="11">
                  <c:v>1.25</c:v>
                </c:pt>
                <c:pt idx="12">
                  <c:v>1.5</c:v>
                </c:pt>
                <c:pt idx="13">
                  <c:v>1.75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71-47D1-B3D7-317842D6A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186400"/>
        <c:axId val="1"/>
      </c:scatterChart>
      <c:valAx>
        <c:axId val="442186400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v/uH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-100"/>
        <c:crossBetween val="midCat"/>
      </c:valAx>
      <c:valAx>
        <c:axId val="1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z/H</a:t>
                </a:r>
              </a:p>
            </c:rich>
          </c:tx>
          <c:overlay val="0"/>
        </c:title>
        <c:numFmt formatCode="#,##0.0_);\-#,##0.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400" b="0" i="0">
                <a:latin typeface="Arial"/>
                <a:ea typeface="Arial"/>
                <a:cs typeface="Arial"/>
              </a:defRPr>
            </a:pPr>
            <a:endParaRPr lang="ja-JP"/>
          </a:p>
        </c:txPr>
        <c:crossAx val="442186400"/>
        <c:crossesAt val="-10"/>
        <c:crossBetween val="midCat"/>
        <c:maj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9843896179644215"/>
          <c:y val="1.4244176509186352E-2"/>
          <c:w val="0.5015610382035578"/>
          <c:h val="9.9708825459317585E-2"/>
        </c:manualLayout>
      </c:layout>
      <c:overlay val="0"/>
    </c:legend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5468374699759805E-2"/>
          <c:y val="1.4244123527955354E-2"/>
          <c:w val="0.91453162530024024"/>
          <c:h val="0.94886051217718348"/>
        </c:manualLayout>
      </c:layout>
      <c:scatterChart>
        <c:scatterStyle val="lineMarker"/>
        <c:varyColors val="0"/>
        <c:ser>
          <c:idx val="0"/>
          <c:order val="0"/>
          <c:tx>
            <c:v> w/uH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Inflow!$J$3:$J$19</c:f>
              <c:numCache>
                <c:formatCode>0.00</c:formatCode>
                <c:ptCount val="17"/>
                <c:pt idx="0">
                  <c:v>-3.5180000000000003E-2</c:v>
                </c:pt>
                <c:pt idx="1">
                  <c:v>-5.3339999999999999E-2</c:v>
                </c:pt>
                <c:pt idx="2">
                  <c:v>-5.7099999999999998E-2</c:v>
                </c:pt>
                <c:pt idx="3">
                  <c:v>-4.1900000000000001E-3</c:v>
                </c:pt>
                <c:pt idx="4">
                  <c:v>1.865E-2</c:v>
                </c:pt>
                <c:pt idx="5">
                  <c:v>2.3939999999999999E-2</c:v>
                </c:pt>
                <c:pt idx="6">
                  <c:v>2.0660000000000001E-2</c:v>
                </c:pt>
                <c:pt idx="7">
                  <c:v>2.5930000000000002E-2</c:v>
                </c:pt>
                <c:pt idx="8">
                  <c:v>1.3729999999999999E-2</c:v>
                </c:pt>
                <c:pt idx="9">
                  <c:v>2.1649999999999999E-2</c:v>
                </c:pt>
                <c:pt idx="10">
                  <c:v>2.751E-2</c:v>
                </c:pt>
                <c:pt idx="11">
                  <c:v>2.6509999999999999E-2</c:v>
                </c:pt>
                <c:pt idx="12">
                  <c:v>2.6110000000000001E-2</c:v>
                </c:pt>
                <c:pt idx="13">
                  <c:v>2.7949999999999999E-2</c:v>
                </c:pt>
                <c:pt idx="14">
                  <c:v>3.107E-2</c:v>
                </c:pt>
                <c:pt idx="15">
                  <c:v>3.8809999999999997E-2</c:v>
                </c:pt>
                <c:pt idx="16">
                  <c:v>3.6260000000000001E-2</c:v>
                </c:pt>
              </c:numCache>
            </c:numRef>
          </c:xVal>
          <c:yVal>
            <c:numRef>
              <c:f>Inflow!$G$3:$G$19</c:f>
              <c:numCache>
                <c:formatCode>General</c:formatCode>
                <c:ptCount val="17"/>
                <c:pt idx="0">
                  <c:v>0.05</c:v>
                </c:pt>
                <c:pt idx="1">
                  <c:v>6.5000000000000002E-2</c:v>
                </c:pt>
                <c:pt idx="2">
                  <c:v>0.125</c:v>
                </c:pt>
                <c:pt idx="3">
                  <c:v>0.375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1.125</c:v>
                </c:pt>
                <c:pt idx="11">
                  <c:v>1.25</c:v>
                </c:pt>
                <c:pt idx="12">
                  <c:v>1.5</c:v>
                </c:pt>
                <c:pt idx="13">
                  <c:v>1.75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70-4C96-80ED-78331A656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268864"/>
        <c:axId val="1"/>
      </c:scatterChart>
      <c:valAx>
        <c:axId val="567268864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w/uH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-100"/>
        <c:crossBetween val="midCat"/>
      </c:valAx>
      <c:valAx>
        <c:axId val="1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z/H</a:t>
                </a:r>
              </a:p>
            </c:rich>
          </c:tx>
          <c:overlay val="0"/>
        </c:title>
        <c:numFmt formatCode="#,##0.0_);\-#,##0.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400" b="0" i="0">
                <a:latin typeface="Arial"/>
                <a:ea typeface="Arial"/>
                <a:cs typeface="Arial"/>
              </a:defRPr>
            </a:pPr>
            <a:endParaRPr lang="ja-JP"/>
          </a:p>
        </c:txPr>
        <c:crossAx val="567268864"/>
        <c:crossesAt val="-10"/>
        <c:crossBetween val="midCat"/>
        <c:maj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9843849518810152"/>
          <c:y val="1.4244176509186352E-2"/>
          <c:w val="0.50156150481189843"/>
          <c:h val="9.9708825459317585E-2"/>
        </c:manualLayout>
      </c:layout>
      <c:overlay val="0"/>
    </c:legend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047133762694611E-2"/>
          <c:y val="1.4244127521953621E-2"/>
          <c:w val="0.91952866237305386"/>
          <c:h val="0.94886077823407589"/>
        </c:manualLayout>
      </c:layout>
      <c:scatterChart>
        <c:scatterStyle val="lineMarker"/>
        <c:varyColors val="0"/>
        <c:ser>
          <c:idx val="0"/>
          <c:order val="0"/>
          <c:tx>
            <c:v>  urms/uH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Inflow!$K$3:$K$19</c:f>
              <c:numCache>
                <c:formatCode>0.000</c:formatCode>
                <c:ptCount val="17"/>
                <c:pt idx="0">
                  <c:v>0.13858999999999999</c:v>
                </c:pt>
                <c:pt idx="1">
                  <c:v>0.14384</c:v>
                </c:pt>
                <c:pt idx="2">
                  <c:v>0.16545000000000001</c:v>
                </c:pt>
                <c:pt idx="3">
                  <c:v>0.21357999999999999</c:v>
                </c:pt>
                <c:pt idx="4">
                  <c:v>0.22233</c:v>
                </c:pt>
                <c:pt idx="5">
                  <c:v>0.21214</c:v>
                </c:pt>
                <c:pt idx="6">
                  <c:v>0.21834999999999999</c:v>
                </c:pt>
                <c:pt idx="7">
                  <c:v>0.21263000000000001</c:v>
                </c:pt>
                <c:pt idx="8">
                  <c:v>0.21651000000000001</c:v>
                </c:pt>
                <c:pt idx="9">
                  <c:v>0.21143000000000001</c:v>
                </c:pt>
                <c:pt idx="10">
                  <c:v>0.19747999999999999</c:v>
                </c:pt>
                <c:pt idx="11">
                  <c:v>0.20949999999999999</c:v>
                </c:pt>
                <c:pt idx="12">
                  <c:v>0.20577000000000001</c:v>
                </c:pt>
                <c:pt idx="13">
                  <c:v>0.20177999999999999</c:v>
                </c:pt>
                <c:pt idx="14">
                  <c:v>0.18789</c:v>
                </c:pt>
                <c:pt idx="15">
                  <c:v>0.1605</c:v>
                </c:pt>
                <c:pt idx="16">
                  <c:v>0.14549999999999999</c:v>
                </c:pt>
              </c:numCache>
            </c:numRef>
          </c:xVal>
          <c:yVal>
            <c:numRef>
              <c:f>Inflow!$G$3:$G$19</c:f>
              <c:numCache>
                <c:formatCode>General</c:formatCode>
                <c:ptCount val="17"/>
                <c:pt idx="0">
                  <c:v>0.05</c:v>
                </c:pt>
                <c:pt idx="1">
                  <c:v>6.5000000000000002E-2</c:v>
                </c:pt>
                <c:pt idx="2">
                  <c:v>0.125</c:v>
                </c:pt>
                <c:pt idx="3">
                  <c:v>0.375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1.125</c:v>
                </c:pt>
                <c:pt idx="11">
                  <c:v>1.25</c:v>
                </c:pt>
                <c:pt idx="12">
                  <c:v>1.5</c:v>
                </c:pt>
                <c:pt idx="13">
                  <c:v>1.75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5D-452E-8E35-59C70F857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265912"/>
        <c:axId val="1"/>
      </c:scatterChart>
      <c:valAx>
        <c:axId val="567265912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 urms/uH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-100"/>
        <c:crossBetween val="midCat"/>
      </c:valAx>
      <c:valAx>
        <c:axId val="1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z/H</a:t>
                </a:r>
              </a:p>
            </c:rich>
          </c:tx>
          <c:overlay val="0"/>
        </c:title>
        <c:numFmt formatCode="#,##0.0_);\-#,##0.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400" b="0" i="0">
                <a:latin typeface="Arial"/>
                <a:ea typeface="Arial"/>
                <a:cs typeface="Arial"/>
              </a:defRPr>
            </a:pPr>
            <a:endParaRPr lang="ja-JP"/>
          </a:p>
        </c:txPr>
        <c:crossAx val="567265912"/>
        <c:crossesAt val="-10"/>
        <c:crossBetween val="midCat"/>
        <c:maj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9843849518810152"/>
          <c:y val="1.4244176509186352E-2"/>
          <c:w val="0.50156150481189843"/>
          <c:h val="9.9708825459317585E-2"/>
        </c:manualLayout>
      </c:layout>
      <c:overlay val="0"/>
    </c:legend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1017908982448608E-2"/>
          <c:y val="1.4244127521953621E-2"/>
          <c:w val="0.91898209101755135"/>
          <c:h val="0.94886077823407589"/>
        </c:manualLayout>
      </c:layout>
      <c:scatterChart>
        <c:scatterStyle val="lineMarker"/>
        <c:varyColors val="0"/>
        <c:ser>
          <c:idx val="0"/>
          <c:order val="0"/>
          <c:tx>
            <c:v> vrms/uH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Inflow!$L$3:$L$19</c:f>
              <c:numCache>
                <c:formatCode>0.000</c:formatCode>
                <c:ptCount val="17"/>
                <c:pt idx="0">
                  <c:v>0.18013999999999999</c:v>
                </c:pt>
                <c:pt idx="1">
                  <c:v>0.19105</c:v>
                </c:pt>
                <c:pt idx="2">
                  <c:v>0.18442</c:v>
                </c:pt>
                <c:pt idx="3">
                  <c:v>0.15941</c:v>
                </c:pt>
                <c:pt idx="4">
                  <c:v>0.1565</c:v>
                </c:pt>
                <c:pt idx="5">
                  <c:v>0.15448999999999999</c:v>
                </c:pt>
                <c:pt idx="6">
                  <c:v>0.15232999999999999</c:v>
                </c:pt>
                <c:pt idx="7">
                  <c:v>0.14754999999999999</c:v>
                </c:pt>
                <c:pt idx="8">
                  <c:v>0.15215999999999999</c:v>
                </c:pt>
                <c:pt idx="9">
                  <c:v>0.14721000000000001</c:v>
                </c:pt>
                <c:pt idx="10">
                  <c:v>0.14366000000000001</c:v>
                </c:pt>
                <c:pt idx="11">
                  <c:v>0.14319999999999999</c:v>
                </c:pt>
                <c:pt idx="12">
                  <c:v>0.13869999999999999</c:v>
                </c:pt>
                <c:pt idx="13">
                  <c:v>0.13064999999999999</c:v>
                </c:pt>
                <c:pt idx="14">
                  <c:v>0.11376</c:v>
                </c:pt>
                <c:pt idx="15">
                  <c:v>0.10546</c:v>
                </c:pt>
                <c:pt idx="16">
                  <c:v>9.4460000000000002E-2</c:v>
                </c:pt>
              </c:numCache>
            </c:numRef>
          </c:xVal>
          <c:yVal>
            <c:numRef>
              <c:f>Inflow!$G$3:$G$19</c:f>
              <c:numCache>
                <c:formatCode>General</c:formatCode>
                <c:ptCount val="17"/>
                <c:pt idx="0">
                  <c:v>0.05</c:v>
                </c:pt>
                <c:pt idx="1">
                  <c:v>6.5000000000000002E-2</c:v>
                </c:pt>
                <c:pt idx="2">
                  <c:v>0.125</c:v>
                </c:pt>
                <c:pt idx="3">
                  <c:v>0.375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1.125</c:v>
                </c:pt>
                <c:pt idx="11">
                  <c:v>1.25</c:v>
                </c:pt>
                <c:pt idx="12">
                  <c:v>1.5</c:v>
                </c:pt>
                <c:pt idx="13">
                  <c:v>1.75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95-4ED9-BCAD-C2B36F92B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269192"/>
        <c:axId val="1"/>
      </c:scatterChart>
      <c:valAx>
        <c:axId val="567269192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vrms/uH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-100"/>
        <c:crossBetween val="midCat"/>
      </c:valAx>
      <c:valAx>
        <c:axId val="1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z/H</a:t>
                </a:r>
              </a:p>
            </c:rich>
          </c:tx>
          <c:overlay val="0"/>
        </c:title>
        <c:numFmt formatCode="#,##0.0_);\-#,##0.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400" b="0" i="0">
                <a:latin typeface="Arial"/>
                <a:ea typeface="Arial"/>
                <a:cs typeface="Arial"/>
              </a:defRPr>
            </a:pPr>
            <a:endParaRPr lang="ja-JP"/>
          </a:p>
        </c:txPr>
        <c:crossAx val="567269192"/>
        <c:crossesAt val="-10"/>
        <c:crossBetween val="midCat"/>
        <c:maj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9843896179644215"/>
          <c:y val="1.4244176509186352E-2"/>
          <c:w val="0.5015610382035578"/>
          <c:h val="9.9708825459317585E-2"/>
        </c:manualLayout>
      </c:layout>
      <c:overlay val="0"/>
    </c:legend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5468374699759805E-2"/>
          <c:y val="1.4244127521953621E-2"/>
          <c:w val="0.91453162530024024"/>
          <c:h val="0.94886077823407589"/>
        </c:manualLayout>
      </c:layout>
      <c:scatterChart>
        <c:scatterStyle val="lineMarker"/>
        <c:varyColors val="0"/>
        <c:ser>
          <c:idx val="0"/>
          <c:order val="0"/>
          <c:tx>
            <c:v> wrms/uH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Inflow!$M$3:$M$19</c:f>
              <c:numCache>
                <c:formatCode>0.000</c:formatCode>
                <c:ptCount val="17"/>
                <c:pt idx="0">
                  <c:v>0.10605000000000001</c:v>
                </c:pt>
                <c:pt idx="1">
                  <c:v>0.11563</c:v>
                </c:pt>
                <c:pt idx="2">
                  <c:v>0.12806000000000001</c:v>
                </c:pt>
                <c:pt idx="3">
                  <c:v>0.11582000000000001</c:v>
                </c:pt>
                <c:pt idx="4">
                  <c:v>0.12523000000000001</c:v>
                </c:pt>
                <c:pt idx="5">
                  <c:v>0.12644</c:v>
                </c:pt>
                <c:pt idx="6">
                  <c:v>0.12997</c:v>
                </c:pt>
                <c:pt idx="7">
                  <c:v>0.12808</c:v>
                </c:pt>
                <c:pt idx="8">
                  <c:v>0.12981999999999999</c:v>
                </c:pt>
                <c:pt idx="9">
                  <c:v>0.1285</c:v>
                </c:pt>
                <c:pt idx="10">
                  <c:v>0.13372000000000001</c:v>
                </c:pt>
                <c:pt idx="11">
                  <c:v>0.13572999999999999</c:v>
                </c:pt>
                <c:pt idx="12">
                  <c:v>0.12708</c:v>
                </c:pt>
                <c:pt idx="13">
                  <c:v>0.12303</c:v>
                </c:pt>
                <c:pt idx="14">
                  <c:v>0.11895</c:v>
                </c:pt>
                <c:pt idx="15">
                  <c:v>0.108</c:v>
                </c:pt>
                <c:pt idx="16">
                  <c:v>0.11001</c:v>
                </c:pt>
              </c:numCache>
            </c:numRef>
          </c:xVal>
          <c:yVal>
            <c:numRef>
              <c:f>Inflow!$G$3:$G$19</c:f>
              <c:numCache>
                <c:formatCode>General</c:formatCode>
                <c:ptCount val="17"/>
                <c:pt idx="0">
                  <c:v>0.05</c:v>
                </c:pt>
                <c:pt idx="1">
                  <c:v>6.5000000000000002E-2</c:v>
                </c:pt>
                <c:pt idx="2">
                  <c:v>0.125</c:v>
                </c:pt>
                <c:pt idx="3">
                  <c:v>0.375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1.125</c:v>
                </c:pt>
                <c:pt idx="11">
                  <c:v>1.25</c:v>
                </c:pt>
                <c:pt idx="12">
                  <c:v>1.5</c:v>
                </c:pt>
                <c:pt idx="13">
                  <c:v>1.75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7B-464D-92D2-5B7353A04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777960"/>
        <c:axId val="1"/>
      </c:scatterChart>
      <c:valAx>
        <c:axId val="567777960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wrms/uH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-100"/>
        <c:crossBetween val="midCat"/>
      </c:valAx>
      <c:valAx>
        <c:axId val="1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z/H</a:t>
                </a:r>
              </a:p>
            </c:rich>
          </c:tx>
          <c:overlay val="0"/>
        </c:title>
        <c:numFmt formatCode="#,##0.0_);\-#,##0.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400" b="0" i="0">
                <a:latin typeface="Arial"/>
                <a:ea typeface="Arial"/>
                <a:cs typeface="Arial"/>
              </a:defRPr>
            </a:pPr>
            <a:endParaRPr lang="ja-JP"/>
          </a:p>
        </c:txPr>
        <c:crossAx val="567777960"/>
        <c:crossesAt val="-10"/>
        <c:crossBetween val="midCat"/>
        <c:maj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9843849518810152"/>
          <c:y val="1.4244176509186352E-2"/>
          <c:w val="0.50156150481189843"/>
          <c:h val="9.9708825459317585E-2"/>
        </c:manualLayout>
      </c:layout>
      <c:overlay val="0"/>
    </c:legend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047133762694611E-2"/>
          <c:y val="1.4244123527955354E-2"/>
          <c:w val="0.91952866237305386"/>
          <c:h val="0.94886051217718348"/>
        </c:manualLayout>
      </c:layout>
      <c:scatterChart>
        <c:scatterStyle val="lineMarker"/>
        <c:varyColors val="0"/>
        <c:ser>
          <c:idx val="0"/>
          <c:order val="0"/>
          <c:tx>
            <c:v> uvR/uH^2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Inflow!$R$3:$R$19</c:f>
              <c:numCache>
                <c:formatCode>0.000</c:formatCode>
                <c:ptCount val="17"/>
                <c:pt idx="0">
                  <c:v>1.2E-4</c:v>
                </c:pt>
                <c:pt idx="1">
                  <c:v>1E-3</c:v>
                </c:pt>
                <c:pt idx="2">
                  <c:v>-4.4000000000000002E-4</c:v>
                </c:pt>
                <c:pt idx="3">
                  <c:v>9.8999999999999999E-4</c:v>
                </c:pt>
                <c:pt idx="4">
                  <c:v>5.0000000000000002E-5</c:v>
                </c:pt>
                <c:pt idx="5">
                  <c:v>-5.9000000000000003E-4</c:v>
                </c:pt>
                <c:pt idx="6">
                  <c:v>-7.3999999999999999E-4</c:v>
                </c:pt>
                <c:pt idx="7">
                  <c:v>-1E-4</c:v>
                </c:pt>
                <c:pt idx="8">
                  <c:v>-2.0300000000000001E-3</c:v>
                </c:pt>
                <c:pt idx="9">
                  <c:v>1.5100000000000001E-3</c:v>
                </c:pt>
                <c:pt idx="10">
                  <c:v>-1.7700000000000001E-3</c:v>
                </c:pt>
                <c:pt idx="11">
                  <c:v>-1.2999999999999999E-4</c:v>
                </c:pt>
                <c:pt idx="12">
                  <c:v>-5.5999999999999995E-4</c:v>
                </c:pt>
                <c:pt idx="13">
                  <c:v>-1.1900000000000001E-3</c:v>
                </c:pt>
                <c:pt idx="14">
                  <c:v>-9.7000000000000005E-4</c:v>
                </c:pt>
                <c:pt idx="15">
                  <c:v>-3.3E-4</c:v>
                </c:pt>
                <c:pt idx="16">
                  <c:v>-1.6199999999999999E-3</c:v>
                </c:pt>
              </c:numCache>
            </c:numRef>
          </c:xVal>
          <c:yVal>
            <c:numRef>
              <c:f>Inflow!$G$3:$G$19</c:f>
              <c:numCache>
                <c:formatCode>General</c:formatCode>
                <c:ptCount val="17"/>
                <c:pt idx="0">
                  <c:v>0.05</c:v>
                </c:pt>
                <c:pt idx="1">
                  <c:v>6.5000000000000002E-2</c:v>
                </c:pt>
                <c:pt idx="2">
                  <c:v>0.125</c:v>
                </c:pt>
                <c:pt idx="3">
                  <c:v>0.375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1.125</c:v>
                </c:pt>
                <c:pt idx="11">
                  <c:v>1.25</c:v>
                </c:pt>
                <c:pt idx="12">
                  <c:v>1.5</c:v>
                </c:pt>
                <c:pt idx="13">
                  <c:v>1.75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BB-4AA5-A393-524034571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779600"/>
        <c:axId val="1"/>
      </c:scatterChart>
      <c:valAx>
        <c:axId val="567779600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uvR/uH^2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-100"/>
        <c:crossBetween val="midCat"/>
      </c:valAx>
      <c:valAx>
        <c:axId val="1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z/H</a:t>
                </a:r>
              </a:p>
            </c:rich>
          </c:tx>
          <c:overlay val="0"/>
        </c:title>
        <c:numFmt formatCode="#,##0.0_);\-#,##0.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400" b="0" i="0">
                <a:latin typeface="Arial"/>
                <a:ea typeface="Arial"/>
                <a:cs typeface="Arial"/>
              </a:defRPr>
            </a:pPr>
            <a:endParaRPr lang="ja-JP"/>
          </a:p>
        </c:txPr>
        <c:crossAx val="567779600"/>
        <c:crossesAt val="-10"/>
        <c:crossBetween val="midCat"/>
        <c:maj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9843849518810152"/>
          <c:y val="1.4244176509186352E-2"/>
          <c:w val="0.50156150481189843"/>
          <c:h val="9.9708825459317585E-2"/>
        </c:manualLayout>
      </c:layout>
      <c:overlay val="0"/>
    </c:legend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04713002553782E-2"/>
          <c:y val="1.4244123527955354E-2"/>
          <c:w val="0.9195286997446217"/>
          <c:h val="0.94886051217718348"/>
        </c:manualLayout>
      </c:layout>
      <c:scatterChart>
        <c:scatterStyle val="lineMarker"/>
        <c:varyColors val="0"/>
        <c:ser>
          <c:idx val="0"/>
          <c:order val="0"/>
          <c:tx>
            <c:v> uw_wR/uH^2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Inflow!$S$3:$S$19</c:f>
              <c:numCache>
                <c:formatCode>0.000</c:formatCode>
                <c:ptCount val="17"/>
                <c:pt idx="0">
                  <c:v>-3.8999999999999998E-3</c:v>
                </c:pt>
                <c:pt idx="1">
                  <c:v>-5.1000000000000004E-3</c:v>
                </c:pt>
                <c:pt idx="2">
                  <c:v>-1.401E-2</c:v>
                </c:pt>
                <c:pt idx="3">
                  <c:v>-1.0749999999999999E-2</c:v>
                </c:pt>
                <c:pt idx="4">
                  <c:v>-1.1769999999999999E-2</c:v>
                </c:pt>
                <c:pt idx="5">
                  <c:v>-1.255E-2</c:v>
                </c:pt>
                <c:pt idx="6">
                  <c:v>-1.324E-2</c:v>
                </c:pt>
                <c:pt idx="7">
                  <c:v>-1.3220000000000001E-2</c:v>
                </c:pt>
                <c:pt idx="8">
                  <c:v>-1.3180000000000001E-2</c:v>
                </c:pt>
                <c:pt idx="9">
                  <c:v>-1.341E-2</c:v>
                </c:pt>
                <c:pt idx="10">
                  <c:v>-1.532E-2</c:v>
                </c:pt>
                <c:pt idx="11">
                  <c:v>-1.2930000000000001E-2</c:v>
                </c:pt>
                <c:pt idx="12">
                  <c:v>-1.251E-2</c:v>
                </c:pt>
                <c:pt idx="13">
                  <c:v>-1.1820000000000001E-2</c:v>
                </c:pt>
                <c:pt idx="14">
                  <c:v>-9.0600000000000003E-3</c:v>
                </c:pt>
                <c:pt idx="15">
                  <c:v>-4.8199999999999996E-3</c:v>
                </c:pt>
                <c:pt idx="16">
                  <c:v>-3.6999999999999999E-4</c:v>
                </c:pt>
              </c:numCache>
            </c:numRef>
          </c:xVal>
          <c:yVal>
            <c:numRef>
              <c:f>Inflow!$G$3:$G$19</c:f>
              <c:numCache>
                <c:formatCode>General</c:formatCode>
                <c:ptCount val="17"/>
                <c:pt idx="0">
                  <c:v>0.05</c:v>
                </c:pt>
                <c:pt idx="1">
                  <c:v>6.5000000000000002E-2</c:v>
                </c:pt>
                <c:pt idx="2">
                  <c:v>0.125</c:v>
                </c:pt>
                <c:pt idx="3">
                  <c:v>0.375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1.125</c:v>
                </c:pt>
                <c:pt idx="11">
                  <c:v>1.25</c:v>
                </c:pt>
                <c:pt idx="12">
                  <c:v>1.5</c:v>
                </c:pt>
                <c:pt idx="13">
                  <c:v>1.75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B5-4A7F-91D3-6E17F24F7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43536"/>
        <c:axId val="1"/>
      </c:scatterChart>
      <c:valAx>
        <c:axId val="567943536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uw_wR/uH^2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-100"/>
        <c:crossBetween val="midCat"/>
      </c:valAx>
      <c:valAx>
        <c:axId val="1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z/H</a:t>
                </a:r>
              </a:p>
            </c:rich>
          </c:tx>
          <c:overlay val="0"/>
        </c:title>
        <c:numFmt formatCode="#,##0.0_);\-#,##0.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400" b="0" i="0">
                <a:latin typeface="Arial"/>
                <a:ea typeface="Arial"/>
                <a:cs typeface="Arial"/>
              </a:defRPr>
            </a:pPr>
            <a:endParaRPr lang="ja-JP"/>
          </a:p>
        </c:txPr>
        <c:crossAx val="567943536"/>
        <c:crossesAt val="-10"/>
        <c:crossBetween val="midCat"/>
        <c:maj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9843896179644215"/>
          <c:y val="1.4244176509186352E-2"/>
          <c:w val="0.5015610382035578"/>
          <c:h val="9.9708825459317585E-2"/>
        </c:manualLayout>
      </c:layout>
      <c:overlay val="0"/>
    </c:legend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5468510325199087E-2"/>
          <c:y val="1.4244127521953621E-2"/>
          <c:w val="0.9145314896748008"/>
          <c:h val="0.94886077823407589"/>
        </c:manualLayout>
      </c:layout>
      <c:scatterChart>
        <c:scatterStyle val="lineMarker"/>
        <c:varyColors val="0"/>
        <c:ser>
          <c:idx val="0"/>
          <c:order val="0"/>
          <c:tx>
            <c:v>  k/uH^2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Inflow!$T$3:$T$19</c:f>
              <c:numCache>
                <c:formatCode>0.000</c:formatCode>
                <c:ptCount val="17"/>
                <c:pt idx="0">
                  <c:v>3.1449999999999999E-2</c:v>
                </c:pt>
                <c:pt idx="1">
                  <c:v>3.5279999999999999E-2</c:v>
                </c:pt>
                <c:pt idx="2">
                  <c:v>3.8890000000000001E-2</c:v>
                </c:pt>
                <c:pt idx="3">
                  <c:v>4.2220000000000001E-2</c:v>
                </c:pt>
                <c:pt idx="4">
                  <c:v>4.48E-2</c:v>
                </c:pt>
                <c:pt idx="5">
                  <c:v>4.2430000000000002E-2</c:v>
                </c:pt>
                <c:pt idx="6">
                  <c:v>4.3889999999999998E-2</c:v>
                </c:pt>
                <c:pt idx="7">
                  <c:v>4.1700000000000001E-2</c:v>
                </c:pt>
                <c:pt idx="8">
                  <c:v>4.3439999999999999E-2</c:v>
                </c:pt>
                <c:pt idx="9">
                  <c:v>4.1439999999999998E-2</c:v>
                </c:pt>
                <c:pt idx="10">
                  <c:v>3.8760000000000003E-2</c:v>
                </c:pt>
                <c:pt idx="11">
                  <c:v>4.1410000000000002E-2</c:v>
                </c:pt>
                <c:pt idx="12">
                  <c:v>3.8859999999999999E-2</c:v>
                </c:pt>
                <c:pt idx="13">
                  <c:v>3.6459999999999999E-2</c:v>
                </c:pt>
                <c:pt idx="14">
                  <c:v>3.1199999999999999E-2</c:v>
                </c:pt>
                <c:pt idx="15">
                  <c:v>2.427E-2</c:v>
                </c:pt>
                <c:pt idx="16">
                  <c:v>2.1100000000000001E-2</c:v>
                </c:pt>
              </c:numCache>
            </c:numRef>
          </c:xVal>
          <c:yVal>
            <c:numRef>
              <c:f>Inflow!$G$3:$G$19</c:f>
              <c:numCache>
                <c:formatCode>General</c:formatCode>
                <c:ptCount val="17"/>
                <c:pt idx="0">
                  <c:v>0.05</c:v>
                </c:pt>
                <c:pt idx="1">
                  <c:v>6.5000000000000002E-2</c:v>
                </c:pt>
                <c:pt idx="2">
                  <c:v>0.125</c:v>
                </c:pt>
                <c:pt idx="3">
                  <c:v>0.375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1.125</c:v>
                </c:pt>
                <c:pt idx="11">
                  <c:v>1.25</c:v>
                </c:pt>
                <c:pt idx="12">
                  <c:v>1.5</c:v>
                </c:pt>
                <c:pt idx="13">
                  <c:v>1.75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23-4B4D-92FA-3A773B7EB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41896"/>
        <c:axId val="1"/>
      </c:scatterChart>
      <c:valAx>
        <c:axId val="567941896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 k/uH^2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-100"/>
        <c:crossBetween val="midCat"/>
      </c:valAx>
      <c:valAx>
        <c:axId val="1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z/H</a:t>
                </a:r>
              </a:p>
            </c:rich>
          </c:tx>
          <c:overlay val="0"/>
        </c:title>
        <c:numFmt formatCode="#,##0.0_);\-#,##0.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400" b="0" i="0">
                <a:latin typeface="Arial"/>
                <a:ea typeface="Arial"/>
                <a:cs typeface="Arial"/>
              </a:defRPr>
            </a:pPr>
            <a:endParaRPr lang="ja-JP"/>
          </a:p>
        </c:txPr>
        <c:crossAx val="567941896"/>
        <c:crossesAt val="-10"/>
        <c:crossBetween val="midCat"/>
        <c:maj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0116479933400404"/>
          <c:y val="1.4244176509186352E-2"/>
          <c:w val="0.49883520066599596"/>
          <c:h val="9.9708825459317585E-2"/>
        </c:manualLayout>
      </c:layout>
      <c:overlay val="0"/>
    </c:legend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19</xdr:row>
      <xdr:rowOff>152400</xdr:rowOff>
    </xdr:from>
    <xdr:to>
      <xdr:col>4</xdr:col>
      <xdr:colOff>381000</xdr:colOff>
      <xdr:row>48</xdr:row>
      <xdr:rowOff>57150</xdr:rowOff>
    </xdr:to>
    <xdr:graphicFrame macro="">
      <xdr:nvGraphicFramePr>
        <xdr:cNvPr id="51959829" name="Chart 1">
          <a:extLst>
            <a:ext uri="{FF2B5EF4-FFF2-40B4-BE49-F238E27FC236}">
              <a16:creationId xmlns:a16="http://schemas.microsoft.com/office/drawing/2014/main" id="{01210DEC-C038-4E4C-BF89-7696BA171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161925</xdr:colOff>
      <xdr:row>19</xdr:row>
      <xdr:rowOff>152400</xdr:rowOff>
    </xdr:from>
    <xdr:to>
      <xdr:col>8</xdr:col>
      <xdr:colOff>247650</xdr:colOff>
      <xdr:row>48</xdr:row>
      <xdr:rowOff>57150</xdr:rowOff>
    </xdr:to>
    <xdr:graphicFrame macro="">
      <xdr:nvGraphicFramePr>
        <xdr:cNvPr id="51959830" name="Chart 1">
          <a:extLst>
            <a:ext uri="{FF2B5EF4-FFF2-40B4-BE49-F238E27FC236}">
              <a16:creationId xmlns:a16="http://schemas.microsoft.com/office/drawing/2014/main" id="{D9D776CC-EB2C-4CB0-9C3C-99BEE14E34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647700</xdr:colOff>
      <xdr:row>19</xdr:row>
      <xdr:rowOff>152400</xdr:rowOff>
    </xdr:from>
    <xdr:to>
      <xdr:col>11</xdr:col>
      <xdr:colOff>733425</xdr:colOff>
      <xdr:row>48</xdr:row>
      <xdr:rowOff>57150</xdr:rowOff>
    </xdr:to>
    <xdr:graphicFrame macro="">
      <xdr:nvGraphicFramePr>
        <xdr:cNvPr id="51959831" name="Chart 1">
          <a:extLst>
            <a:ext uri="{FF2B5EF4-FFF2-40B4-BE49-F238E27FC236}">
              <a16:creationId xmlns:a16="http://schemas.microsoft.com/office/drawing/2014/main" id="{A5D15127-A042-4C85-8252-7B1D346E3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276225</xdr:colOff>
      <xdr:row>48</xdr:row>
      <xdr:rowOff>66675</xdr:rowOff>
    </xdr:from>
    <xdr:to>
      <xdr:col>4</xdr:col>
      <xdr:colOff>361950</xdr:colOff>
      <xdr:row>76</xdr:row>
      <xdr:rowOff>142875</xdr:rowOff>
    </xdr:to>
    <xdr:graphicFrame macro="">
      <xdr:nvGraphicFramePr>
        <xdr:cNvPr id="51959832" name="Chart 1">
          <a:extLst>
            <a:ext uri="{FF2B5EF4-FFF2-40B4-BE49-F238E27FC236}">
              <a16:creationId xmlns:a16="http://schemas.microsoft.com/office/drawing/2014/main" id="{05D6268E-BD7C-4502-A818-B9893DA5C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142875</xdr:colOff>
      <xdr:row>48</xdr:row>
      <xdr:rowOff>66675</xdr:rowOff>
    </xdr:from>
    <xdr:to>
      <xdr:col>8</xdr:col>
      <xdr:colOff>228600</xdr:colOff>
      <xdr:row>76</xdr:row>
      <xdr:rowOff>142875</xdr:rowOff>
    </xdr:to>
    <xdr:graphicFrame macro="">
      <xdr:nvGraphicFramePr>
        <xdr:cNvPr id="51959833" name="Chart 1">
          <a:extLst>
            <a:ext uri="{FF2B5EF4-FFF2-40B4-BE49-F238E27FC236}">
              <a16:creationId xmlns:a16="http://schemas.microsoft.com/office/drawing/2014/main" id="{31E8A52B-CD8A-47E4-BED2-6FA449145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628650</xdr:colOff>
      <xdr:row>48</xdr:row>
      <xdr:rowOff>66675</xdr:rowOff>
    </xdr:from>
    <xdr:to>
      <xdr:col>11</xdr:col>
      <xdr:colOff>714375</xdr:colOff>
      <xdr:row>76</xdr:row>
      <xdr:rowOff>142875</xdr:rowOff>
    </xdr:to>
    <xdr:graphicFrame macro="">
      <xdr:nvGraphicFramePr>
        <xdr:cNvPr id="51959834" name="Chart 1">
          <a:extLst>
            <a:ext uri="{FF2B5EF4-FFF2-40B4-BE49-F238E27FC236}">
              <a16:creationId xmlns:a16="http://schemas.microsoft.com/office/drawing/2014/main" id="{B85DACDF-6238-4CB2-95A2-ACA3F28D1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276225</xdr:colOff>
      <xdr:row>79</xdr:row>
      <xdr:rowOff>9525</xdr:rowOff>
    </xdr:from>
    <xdr:to>
      <xdr:col>4</xdr:col>
      <xdr:colOff>361950</xdr:colOff>
      <xdr:row>107</xdr:row>
      <xdr:rowOff>85725</xdr:rowOff>
    </xdr:to>
    <xdr:graphicFrame macro="">
      <xdr:nvGraphicFramePr>
        <xdr:cNvPr id="51959835" name="Chart 1">
          <a:extLst>
            <a:ext uri="{FF2B5EF4-FFF2-40B4-BE49-F238E27FC236}">
              <a16:creationId xmlns:a16="http://schemas.microsoft.com/office/drawing/2014/main" id="{CE445F54-3248-4268-862B-6AE256D6B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142875</xdr:colOff>
      <xdr:row>79</xdr:row>
      <xdr:rowOff>9525</xdr:rowOff>
    </xdr:from>
    <xdr:to>
      <xdr:col>8</xdr:col>
      <xdr:colOff>228600</xdr:colOff>
      <xdr:row>107</xdr:row>
      <xdr:rowOff>85725</xdr:rowOff>
    </xdr:to>
    <xdr:graphicFrame macro="">
      <xdr:nvGraphicFramePr>
        <xdr:cNvPr id="51959836" name="Chart 1">
          <a:extLst>
            <a:ext uri="{FF2B5EF4-FFF2-40B4-BE49-F238E27FC236}">
              <a16:creationId xmlns:a16="http://schemas.microsoft.com/office/drawing/2014/main" id="{0D76A363-8321-41A3-8FED-C395B6237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257175</xdr:colOff>
      <xdr:row>48</xdr:row>
      <xdr:rowOff>66675</xdr:rowOff>
    </xdr:from>
    <xdr:to>
      <xdr:col>14</xdr:col>
      <xdr:colOff>676275</xdr:colOff>
      <xdr:row>76</xdr:row>
      <xdr:rowOff>142875</xdr:rowOff>
    </xdr:to>
    <xdr:graphicFrame macro="">
      <xdr:nvGraphicFramePr>
        <xdr:cNvPr id="51959837" name="Chart 1">
          <a:extLst>
            <a:ext uri="{FF2B5EF4-FFF2-40B4-BE49-F238E27FC236}">
              <a16:creationId xmlns:a16="http://schemas.microsoft.com/office/drawing/2014/main" id="{CFC149DA-C883-401D-A639-F248B8292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12</xdr:col>
      <xdr:colOff>552450</xdr:colOff>
      <xdr:row>23</xdr:row>
      <xdr:rowOff>114300</xdr:rowOff>
    </xdr:from>
    <xdr:ext cx="1828834" cy="275717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69645197-70BF-477C-9E56-051B6F606BBF}"/>
            </a:ext>
          </a:extLst>
        </xdr:cNvPr>
        <xdr:cNvSpPr txBox="1"/>
      </xdr:nvSpPr>
      <xdr:spPr>
        <a:xfrm>
          <a:off x="8915400" y="4095750"/>
          <a:ext cx="1828834" cy="27571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グラフのデータリンク先修正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47625</xdr:colOff>
      <xdr:row>6</xdr:row>
      <xdr:rowOff>76200</xdr:rowOff>
    </xdr:from>
    <xdr:to>
      <xdr:col>33</xdr:col>
      <xdr:colOff>647700</xdr:colOff>
      <xdr:row>29</xdr:row>
      <xdr:rowOff>104775</xdr:rowOff>
    </xdr:to>
    <xdr:pic>
      <xdr:nvPicPr>
        <xdr:cNvPr id="43048314" name="図 4">
          <a:extLst>
            <a:ext uri="{FF2B5EF4-FFF2-40B4-BE49-F238E27FC236}">
              <a16:creationId xmlns:a16="http://schemas.microsoft.com/office/drawing/2014/main" id="{50992459-6CAB-4CEB-B904-E0F95EE07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0425" y="1104900"/>
          <a:ext cx="12258675" cy="397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15</xdr:col>
      <xdr:colOff>285750</xdr:colOff>
      <xdr:row>44</xdr:row>
      <xdr:rowOff>19050</xdr:rowOff>
    </xdr:to>
    <xdr:grpSp>
      <xdr:nvGrpSpPr>
        <xdr:cNvPr id="43048315" name="グループ化 2">
          <a:extLst>
            <a:ext uri="{FF2B5EF4-FFF2-40B4-BE49-F238E27FC236}">
              <a16:creationId xmlns:a16="http://schemas.microsoft.com/office/drawing/2014/main" id="{674191CF-6BDC-43C0-B1BE-15E73AE5CC3A}"/>
            </a:ext>
          </a:extLst>
        </xdr:cNvPr>
        <xdr:cNvGrpSpPr>
          <a:grpSpLocks/>
        </xdr:cNvGrpSpPr>
      </xdr:nvGrpSpPr>
      <xdr:grpSpPr bwMode="auto">
        <a:xfrm>
          <a:off x="76200" y="0"/>
          <a:ext cx="10462932" cy="7414932"/>
          <a:chOff x="78441" y="0"/>
          <a:chExt cx="10460691" cy="7414932"/>
        </a:xfrm>
      </xdr:grpSpPr>
      <xdr:pic>
        <xdr:nvPicPr>
          <xdr:cNvPr id="43048316" name="図 3">
            <a:extLst>
              <a:ext uri="{FF2B5EF4-FFF2-40B4-BE49-F238E27FC236}">
                <a16:creationId xmlns:a16="http://schemas.microsoft.com/office/drawing/2014/main" id="{842E0779-07FE-44DA-AF07-D825799FEE4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5725" y="0"/>
            <a:ext cx="10453407" cy="74149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" name="フローチャート: 結合子 1">
            <a:extLst>
              <a:ext uri="{FF2B5EF4-FFF2-40B4-BE49-F238E27FC236}">
                <a16:creationId xmlns:a16="http://schemas.microsoft.com/office/drawing/2014/main" id="{5A2B9FEF-4B2D-4797-A782-83418409FE71}"/>
              </a:ext>
            </a:extLst>
          </xdr:cNvPr>
          <xdr:cNvSpPr/>
        </xdr:nvSpPr>
        <xdr:spPr>
          <a:xfrm>
            <a:off x="78441" y="3604740"/>
            <a:ext cx="189849" cy="196113"/>
          </a:xfrm>
          <a:prstGeom prst="flowChartConnector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  <xdr:oneCellAnchor>
    <xdr:from>
      <xdr:col>12</xdr:col>
      <xdr:colOff>257736</xdr:colOff>
      <xdr:row>32</xdr:row>
      <xdr:rowOff>89647</xdr:rowOff>
    </xdr:from>
    <xdr:ext cx="1579022" cy="115454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BEF6D9D-F0D1-4510-866E-A3355E734F7B}"/>
            </a:ext>
          </a:extLst>
        </xdr:cNvPr>
        <xdr:cNvSpPr txBox="1"/>
      </xdr:nvSpPr>
      <xdr:spPr>
        <a:xfrm>
          <a:off x="8460442" y="5468471"/>
          <a:ext cx="1579022" cy="115454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200">
              <a:latin typeface="Arial" panose="020B0604020202020204" pitchFamily="34" charset="0"/>
              <a:cs typeface="Arial" panose="020B0604020202020204" pitchFamily="34" charset="0"/>
            </a:rPr>
            <a:t>Measurement points</a:t>
          </a:r>
        </a:p>
        <a:p>
          <a:endParaRPr kumimoji="1" lang="en-US" altLang="ja-JP" sz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kumimoji="1" lang="en-US" altLang="ja-JP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kumimoji="1" lang="en-US" altLang="ja-JP" sz="1200">
              <a:latin typeface="Arial" panose="020B0604020202020204" pitchFamily="34" charset="0"/>
              <a:cs typeface="Arial" panose="020B0604020202020204" pitchFamily="34" charset="0"/>
            </a:rPr>
            <a:t>Origin</a:t>
          </a:r>
        </a:p>
        <a:p>
          <a:endParaRPr kumimoji="1" lang="en-US" altLang="ja-JP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kumimoji="1" lang="en-US" altLang="ja-JP" sz="1200">
              <a:latin typeface="Arial" panose="020B0604020202020204" pitchFamily="34" charset="0"/>
              <a:cs typeface="Arial" panose="020B0604020202020204" pitchFamily="34" charset="0"/>
            </a:rPr>
            <a:t>Gas</a:t>
          </a:r>
          <a:r>
            <a:rPr kumimoji="1" lang="en-US" altLang="ja-JP" sz="1200" baseline="0">
              <a:latin typeface="Arial" panose="020B0604020202020204" pitchFamily="34" charset="0"/>
              <a:cs typeface="Arial" panose="020B0604020202020204" pitchFamily="34" charset="0"/>
            </a:rPr>
            <a:t> source</a:t>
          </a:r>
          <a:endParaRPr kumimoji="1" lang="ja-JP" altLang="en-U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zoomScale="68" zoomScaleNormal="68" workbookViewId="0">
      <selection activeCell="W28" sqref="W28"/>
    </sheetView>
  </sheetViews>
  <sheetFormatPr defaultRowHeight="14.25" x14ac:dyDescent="0.15"/>
  <cols>
    <col min="1" max="11" width="9" style="43"/>
    <col min="12" max="12" width="10.75" style="43" customWidth="1"/>
    <col min="13" max="13" width="11.75" style="43" customWidth="1"/>
    <col min="14" max="14" width="11.125" style="43" customWidth="1"/>
    <col min="15" max="15" width="11" style="43" customWidth="1"/>
    <col min="16" max="16" width="11.875" style="43" customWidth="1"/>
    <col min="17" max="20" width="9" style="43"/>
  </cols>
  <sheetData>
    <row r="1" spans="1:23" x14ac:dyDescent="0.15">
      <c r="A1" s="9"/>
      <c r="B1" s="10" t="s">
        <v>14</v>
      </c>
      <c r="C1" s="10"/>
      <c r="D1" s="10"/>
      <c r="E1" s="10"/>
      <c r="F1" s="10"/>
      <c r="G1" s="10"/>
      <c r="H1" s="10" t="s">
        <v>15</v>
      </c>
      <c r="I1" s="10"/>
      <c r="J1" s="10"/>
      <c r="K1" s="10" t="s">
        <v>16</v>
      </c>
      <c r="L1" s="10"/>
      <c r="M1" s="10"/>
      <c r="N1" s="10"/>
      <c r="O1" s="10"/>
      <c r="P1" s="10"/>
      <c r="Q1" s="11" t="s">
        <v>17</v>
      </c>
      <c r="R1" s="10"/>
      <c r="S1" s="10"/>
      <c r="T1" s="11"/>
    </row>
    <row r="2" spans="1:23" ht="15" thickBot="1" x14ac:dyDescent="0.2">
      <c r="A2" s="12" t="s">
        <v>18</v>
      </c>
      <c r="B2" s="13" t="s">
        <v>19</v>
      </c>
      <c r="C2" s="13" t="s">
        <v>20</v>
      </c>
      <c r="D2" s="13" t="s">
        <v>21</v>
      </c>
      <c r="E2" s="13" t="s">
        <v>22</v>
      </c>
      <c r="F2" s="13" t="s">
        <v>23</v>
      </c>
      <c r="G2" s="13" t="s">
        <v>24</v>
      </c>
      <c r="H2" s="13" t="s">
        <v>25</v>
      </c>
      <c r="I2" s="13" t="s">
        <v>26</v>
      </c>
      <c r="J2" s="13" t="s">
        <v>27</v>
      </c>
      <c r="K2" s="13" t="s">
        <v>28</v>
      </c>
      <c r="L2" s="13" t="s">
        <v>29</v>
      </c>
      <c r="M2" s="13" t="s">
        <v>30</v>
      </c>
      <c r="N2" s="13" t="s">
        <v>31</v>
      </c>
      <c r="O2" s="13" t="s">
        <v>32</v>
      </c>
      <c r="P2" s="13" t="s">
        <v>33</v>
      </c>
      <c r="Q2" s="13" t="s">
        <v>34</v>
      </c>
      <c r="R2" s="13" t="s">
        <v>35</v>
      </c>
      <c r="S2" s="13" t="s">
        <v>36</v>
      </c>
      <c r="T2" s="14" t="s">
        <v>37</v>
      </c>
      <c r="V2" s="7" t="s">
        <v>38</v>
      </c>
    </row>
    <row r="3" spans="1:23" x14ac:dyDescent="0.15">
      <c r="A3" s="15">
        <v>1</v>
      </c>
      <c r="B3" s="16">
        <v>-493</v>
      </c>
      <c r="C3" s="17">
        <v>0</v>
      </c>
      <c r="D3" s="17">
        <v>1.0000000000000002E-2</v>
      </c>
      <c r="E3" s="18">
        <v>-2.4649999999999999</v>
      </c>
      <c r="F3" s="18">
        <v>0</v>
      </c>
      <c r="G3" s="18">
        <v>0.05</v>
      </c>
      <c r="H3" s="19">
        <v>0.19868</v>
      </c>
      <c r="I3" s="19">
        <v>1.891E-2</v>
      </c>
      <c r="J3" s="19">
        <v>-3.5180000000000003E-2</v>
      </c>
      <c r="K3" s="20">
        <v>0.13858999999999999</v>
      </c>
      <c r="L3" s="20">
        <v>0.18013999999999999</v>
      </c>
      <c r="M3" s="20">
        <v>0.10605000000000001</v>
      </c>
      <c r="N3" s="21">
        <v>0.11834</v>
      </c>
      <c r="O3" s="21">
        <v>0.1363</v>
      </c>
      <c r="P3" s="21">
        <v>9.9260000000000001E-2</v>
      </c>
      <c r="Q3" s="22">
        <v>9.6299999999999997E-3</v>
      </c>
      <c r="R3" s="23">
        <v>1.2E-4</v>
      </c>
      <c r="S3" s="23">
        <v>-3.8999999999999998E-3</v>
      </c>
      <c r="T3" s="24">
        <v>3.1449999999999999E-2</v>
      </c>
    </row>
    <row r="4" spans="1:23" x14ac:dyDescent="0.15">
      <c r="A4" s="15">
        <v>2</v>
      </c>
      <c r="B4" s="25">
        <v>-493</v>
      </c>
      <c r="C4" s="26">
        <v>0</v>
      </c>
      <c r="D4" s="26">
        <v>1.3000000000000001E-2</v>
      </c>
      <c r="E4" s="27">
        <v>-2.4649999999999999</v>
      </c>
      <c r="F4" s="27">
        <v>0</v>
      </c>
      <c r="G4" s="27">
        <v>6.5000000000000002E-2</v>
      </c>
      <c r="H4" s="28">
        <v>0.25151000000000001</v>
      </c>
      <c r="I4" s="28">
        <v>9.2300000000000004E-3</v>
      </c>
      <c r="J4" s="28">
        <v>-5.3339999999999999E-2</v>
      </c>
      <c r="K4" s="29">
        <v>0.14384</v>
      </c>
      <c r="L4" s="29">
        <v>0.19105</v>
      </c>
      <c r="M4" s="29">
        <v>0.11563</v>
      </c>
      <c r="N4" s="30">
        <v>0.12640000000000001</v>
      </c>
      <c r="O4" s="30">
        <v>0.14613999999999999</v>
      </c>
      <c r="P4" s="30">
        <v>0.10017</v>
      </c>
      <c r="Q4" s="31">
        <v>8.0499999999999999E-3</v>
      </c>
      <c r="R4" s="32">
        <v>1E-3</v>
      </c>
      <c r="S4" s="32">
        <v>-5.1000000000000004E-3</v>
      </c>
      <c r="T4" s="33">
        <v>3.5279999999999999E-2</v>
      </c>
    </row>
    <row r="5" spans="1:23" x14ac:dyDescent="0.15">
      <c r="A5" s="15">
        <v>3</v>
      </c>
      <c r="B5" s="25">
        <v>-493</v>
      </c>
      <c r="C5" s="26">
        <v>0</v>
      </c>
      <c r="D5" s="26">
        <v>2.5000000000000001E-2</v>
      </c>
      <c r="E5" s="27">
        <v>-2.4649999999999999</v>
      </c>
      <c r="F5" s="27">
        <v>0</v>
      </c>
      <c r="G5" s="27">
        <v>0.125</v>
      </c>
      <c r="H5" s="28">
        <v>0.34727999999999998</v>
      </c>
      <c r="I5" s="28">
        <v>2.6030000000000001E-2</v>
      </c>
      <c r="J5" s="28">
        <v>-5.7099999999999998E-2</v>
      </c>
      <c r="K5" s="29">
        <v>0.16545000000000001</v>
      </c>
      <c r="L5" s="29">
        <v>0.18442</v>
      </c>
      <c r="M5" s="29">
        <v>0.12806000000000001</v>
      </c>
      <c r="N5" s="30">
        <v>0.16592000000000001</v>
      </c>
      <c r="O5" s="30">
        <v>0.20932999999999999</v>
      </c>
      <c r="P5" s="30">
        <v>0.12196</v>
      </c>
      <c r="Q5" s="31">
        <v>1.6299999999999999E-2</v>
      </c>
      <c r="R5" s="32">
        <v>-4.4000000000000002E-4</v>
      </c>
      <c r="S5" s="32">
        <v>-1.401E-2</v>
      </c>
      <c r="T5" s="33">
        <v>3.8890000000000001E-2</v>
      </c>
    </row>
    <row r="6" spans="1:23" x14ac:dyDescent="0.15">
      <c r="A6" s="15">
        <v>4</v>
      </c>
      <c r="B6" s="25">
        <v>-493</v>
      </c>
      <c r="C6" s="26">
        <v>0</v>
      </c>
      <c r="D6" s="26">
        <v>7.5000000000000011E-2</v>
      </c>
      <c r="E6" s="27">
        <v>-2.4649999999999999</v>
      </c>
      <c r="F6" s="27">
        <v>0</v>
      </c>
      <c r="G6" s="27">
        <v>0.375</v>
      </c>
      <c r="H6" s="28">
        <v>0.77690000000000003</v>
      </c>
      <c r="I6" s="28">
        <v>2.162E-2</v>
      </c>
      <c r="J6" s="28">
        <v>-4.1900000000000001E-3</v>
      </c>
      <c r="K6" s="29">
        <v>0.21357999999999999</v>
      </c>
      <c r="L6" s="29">
        <v>0.15941</v>
      </c>
      <c r="M6" s="29">
        <v>0.11582000000000001</v>
      </c>
      <c r="N6" s="30">
        <v>0.19477</v>
      </c>
      <c r="O6" s="30">
        <v>0.245</v>
      </c>
      <c r="P6" s="30">
        <v>0.12761</v>
      </c>
      <c r="Q6" s="31">
        <v>2.051E-2</v>
      </c>
      <c r="R6" s="32">
        <v>9.8999999999999999E-4</v>
      </c>
      <c r="S6" s="32">
        <v>-1.0749999999999999E-2</v>
      </c>
      <c r="T6" s="33">
        <v>4.2220000000000001E-2</v>
      </c>
    </row>
    <row r="7" spans="1:23" x14ac:dyDescent="0.15">
      <c r="A7" s="15">
        <v>5</v>
      </c>
      <c r="B7" s="25">
        <v>-493</v>
      </c>
      <c r="C7" s="26">
        <v>0</v>
      </c>
      <c r="D7" s="26">
        <v>0.125</v>
      </c>
      <c r="E7" s="27">
        <v>-2.4649999999999999</v>
      </c>
      <c r="F7" s="27">
        <v>0</v>
      </c>
      <c r="G7" s="27">
        <v>0.625</v>
      </c>
      <c r="H7" s="28">
        <v>0.87868999999999997</v>
      </c>
      <c r="I7" s="28">
        <v>1.9720000000000001E-2</v>
      </c>
      <c r="J7" s="28">
        <v>1.865E-2</v>
      </c>
      <c r="K7" s="29">
        <v>0.22233</v>
      </c>
      <c r="L7" s="29">
        <v>0.1565</v>
      </c>
      <c r="M7" s="29">
        <v>0.12523000000000001</v>
      </c>
      <c r="N7" s="30">
        <v>0.20807999999999999</v>
      </c>
      <c r="O7" s="30">
        <v>0.24340000000000001</v>
      </c>
      <c r="P7" s="30">
        <v>0.13086999999999999</v>
      </c>
      <c r="Q7" s="31">
        <v>2.0570000000000001E-2</v>
      </c>
      <c r="R7" s="32">
        <v>5.0000000000000002E-5</v>
      </c>
      <c r="S7" s="32">
        <v>-1.1769999999999999E-2</v>
      </c>
      <c r="T7" s="33">
        <v>4.48E-2</v>
      </c>
    </row>
    <row r="8" spans="1:23" x14ac:dyDescent="0.15">
      <c r="A8" s="15">
        <v>6</v>
      </c>
      <c r="B8" s="25">
        <v>-493</v>
      </c>
      <c r="C8" s="26">
        <v>0</v>
      </c>
      <c r="D8" s="26">
        <v>0.15000000000000002</v>
      </c>
      <c r="E8" s="27">
        <v>-2.4649999999999999</v>
      </c>
      <c r="F8" s="27">
        <v>0</v>
      </c>
      <c r="G8" s="27">
        <v>0.75</v>
      </c>
      <c r="H8" s="28">
        <v>0.90781000000000001</v>
      </c>
      <c r="I8" s="28">
        <v>1.9820000000000001E-2</v>
      </c>
      <c r="J8" s="28">
        <v>2.3939999999999999E-2</v>
      </c>
      <c r="K8" s="29">
        <v>0.21214</v>
      </c>
      <c r="L8" s="29">
        <v>0.15448999999999999</v>
      </c>
      <c r="M8" s="29">
        <v>0.12644</v>
      </c>
      <c r="N8" s="30">
        <v>0.20000999999999999</v>
      </c>
      <c r="O8" s="30">
        <v>0.24074000000000001</v>
      </c>
      <c r="P8" s="30">
        <v>0.12776999999999999</v>
      </c>
      <c r="Q8" s="31">
        <v>1.8380000000000001E-2</v>
      </c>
      <c r="R8" s="32">
        <v>-5.9000000000000003E-4</v>
      </c>
      <c r="S8" s="32">
        <v>-1.255E-2</v>
      </c>
      <c r="T8" s="33">
        <v>4.2430000000000002E-2</v>
      </c>
    </row>
    <row r="9" spans="1:23" x14ac:dyDescent="0.15">
      <c r="A9" s="15">
        <v>7</v>
      </c>
      <c r="B9" s="25">
        <v>-493</v>
      </c>
      <c r="C9" s="26">
        <v>0</v>
      </c>
      <c r="D9" s="26">
        <v>0.17500000000000002</v>
      </c>
      <c r="E9" s="27">
        <v>-2.4649999999999999</v>
      </c>
      <c r="F9" s="27">
        <v>0</v>
      </c>
      <c r="G9" s="27">
        <v>0.875</v>
      </c>
      <c r="H9" s="28">
        <v>0.98043999999999998</v>
      </c>
      <c r="I9" s="28">
        <v>1.2749999999999999E-2</v>
      </c>
      <c r="J9" s="28">
        <v>2.0660000000000001E-2</v>
      </c>
      <c r="K9" s="29">
        <v>0.21834999999999999</v>
      </c>
      <c r="L9" s="29">
        <v>0.15232999999999999</v>
      </c>
      <c r="M9" s="29">
        <v>0.12997</v>
      </c>
      <c r="N9" s="30">
        <v>0.20372999999999999</v>
      </c>
      <c r="O9" s="30">
        <v>0.24282999999999999</v>
      </c>
      <c r="P9" s="30">
        <v>0.13095000000000001</v>
      </c>
      <c r="Q9" s="31">
        <v>1.9099999999999999E-2</v>
      </c>
      <c r="R9" s="32">
        <v>-7.3999999999999999E-4</v>
      </c>
      <c r="S9" s="32">
        <v>-1.324E-2</v>
      </c>
      <c r="T9" s="33">
        <v>4.3889999999999998E-2</v>
      </c>
    </row>
    <row r="10" spans="1:23" x14ac:dyDescent="0.15">
      <c r="A10" s="15">
        <v>8</v>
      </c>
      <c r="B10" s="25">
        <v>-493</v>
      </c>
      <c r="C10" s="26">
        <v>0</v>
      </c>
      <c r="D10" s="26">
        <v>0.19</v>
      </c>
      <c r="E10" s="27">
        <v>-2.4649999999999999</v>
      </c>
      <c r="F10" s="27">
        <v>0</v>
      </c>
      <c r="G10" s="27">
        <v>0.95</v>
      </c>
      <c r="H10" s="28">
        <v>0.97485999999999995</v>
      </c>
      <c r="I10" s="28">
        <v>1.299E-2</v>
      </c>
      <c r="J10" s="28">
        <v>2.5930000000000002E-2</v>
      </c>
      <c r="K10" s="29">
        <v>0.21263000000000001</v>
      </c>
      <c r="L10" s="29">
        <v>0.14754999999999999</v>
      </c>
      <c r="M10" s="29">
        <v>0.12808</v>
      </c>
      <c r="N10" s="30">
        <v>0.19349</v>
      </c>
      <c r="O10" s="30">
        <v>0.23916000000000001</v>
      </c>
      <c r="P10" s="30">
        <v>0.1265</v>
      </c>
      <c r="Q10" s="31">
        <v>1.7350000000000001E-2</v>
      </c>
      <c r="R10" s="32">
        <v>-1E-4</v>
      </c>
      <c r="S10" s="32">
        <v>-1.3220000000000001E-2</v>
      </c>
      <c r="T10" s="33">
        <v>4.1700000000000001E-2</v>
      </c>
    </row>
    <row r="11" spans="1:23" x14ac:dyDescent="0.15">
      <c r="A11" s="15">
        <v>9</v>
      </c>
      <c r="B11" s="25">
        <v>-493</v>
      </c>
      <c r="C11" s="26">
        <v>0</v>
      </c>
      <c r="D11" s="26">
        <v>0.2</v>
      </c>
      <c r="E11" s="27">
        <v>-2.4649999999999999</v>
      </c>
      <c r="F11" s="27">
        <v>0</v>
      </c>
      <c r="G11" s="27">
        <v>1</v>
      </c>
      <c r="H11" s="28">
        <v>1</v>
      </c>
      <c r="I11" s="28">
        <v>1.6760000000000001E-2</v>
      </c>
      <c r="J11" s="28">
        <v>1.3729999999999999E-2</v>
      </c>
      <c r="K11" s="29">
        <v>0.21651000000000001</v>
      </c>
      <c r="L11" s="29">
        <v>0.15215999999999999</v>
      </c>
      <c r="M11" s="29">
        <v>0.12981999999999999</v>
      </c>
      <c r="N11" s="30">
        <v>0.19287000000000001</v>
      </c>
      <c r="O11" s="30">
        <v>0.23411999999999999</v>
      </c>
      <c r="P11" s="30">
        <v>0.12931000000000001</v>
      </c>
      <c r="Q11" s="31">
        <v>1.874E-2</v>
      </c>
      <c r="R11" s="32">
        <v>-2.0300000000000001E-3</v>
      </c>
      <c r="S11" s="32">
        <v>-1.3180000000000001E-2</v>
      </c>
      <c r="T11" s="33">
        <v>4.3439999999999999E-2</v>
      </c>
    </row>
    <row r="12" spans="1:23" x14ac:dyDescent="0.15">
      <c r="A12" s="15">
        <v>10</v>
      </c>
      <c r="B12" s="25">
        <v>-493</v>
      </c>
      <c r="C12" s="26">
        <v>0</v>
      </c>
      <c r="D12" s="26">
        <v>0.21000000000000002</v>
      </c>
      <c r="E12" s="27">
        <v>-2.4649999999999999</v>
      </c>
      <c r="F12" s="27">
        <v>0</v>
      </c>
      <c r="G12" s="27">
        <v>1.05</v>
      </c>
      <c r="H12" s="28">
        <v>1.01359</v>
      </c>
      <c r="I12" s="28">
        <v>1.349E-2</v>
      </c>
      <c r="J12" s="28">
        <v>2.1649999999999999E-2</v>
      </c>
      <c r="K12" s="29">
        <v>0.21143000000000001</v>
      </c>
      <c r="L12" s="29">
        <v>0.14721000000000001</v>
      </c>
      <c r="M12" s="29">
        <v>0.1285</v>
      </c>
      <c r="N12" s="30">
        <v>0.19459000000000001</v>
      </c>
      <c r="O12" s="30">
        <v>0.23233000000000001</v>
      </c>
      <c r="P12" s="30">
        <v>0.12433</v>
      </c>
      <c r="Q12" s="31">
        <v>1.677E-2</v>
      </c>
      <c r="R12" s="32">
        <v>1.5100000000000001E-3</v>
      </c>
      <c r="S12" s="32">
        <v>-1.341E-2</v>
      </c>
      <c r="T12" s="33">
        <v>4.1439999999999998E-2</v>
      </c>
    </row>
    <row r="13" spans="1:23" ht="15" x14ac:dyDescent="0.15">
      <c r="A13" s="15">
        <v>11</v>
      </c>
      <c r="B13" s="25">
        <v>-493</v>
      </c>
      <c r="C13" s="26">
        <v>0</v>
      </c>
      <c r="D13" s="26">
        <v>0.22500000000000001</v>
      </c>
      <c r="E13" s="27">
        <v>-2.4649999999999999</v>
      </c>
      <c r="F13" s="27">
        <v>0</v>
      </c>
      <c r="G13" s="27">
        <v>1.125</v>
      </c>
      <c r="H13" s="28">
        <v>1.0058800000000001</v>
      </c>
      <c r="I13" s="28">
        <v>1.6459999999999999E-2</v>
      </c>
      <c r="J13" s="28">
        <v>2.751E-2</v>
      </c>
      <c r="K13" s="29">
        <v>0.19747999999999999</v>
      </c>
      <c r="L13" s="29">
        <v>0.14366000000000001</v>
      </c>
      <c r="M13" s="29">
        <v>0.13372000000000001</v>
      </c>
      <c r="N13" s="30">
        <v>0.19511999999999999</v>
      </c>
      <c r="O13" s="30">
        <v>0.24138999999999999</v>
      </c>
      <c r="P13" s="30">
        <v>0.12325</v>
      </c>
      <c r="Q13" s="31">
        <v>1.5480000000000001E-2</v>
      </c>
      <c r="R13" s="32">
        <v>-1.7700000000000001E-3</v>
      </c>
      <c r="S13" s="32">
        <v>-1.532E-2</v>
      </c>
      <c r="T13" s="33">
        <v>3.8760000000000003E-2</v>
      </c>
      <c r="W13" s="8"/>
    </row>
    <row r="14" spans="1:23" x14ac:dyDescent="0.15">
      <c r="A14" s="15">
        <v>12</v>
      </c>
      <c r="B14" s="25">
        <v>-493</v>
      </c>
      <c r="C14" s="26">
        <v>0</v>
      </c>
      <c r="D14" s="26">
        <v>0.25</v>
      </c>
      <c r="E14" s="27">
        <v>-2.4649999999999999</v>
      </c>
      <c r="F14" s="27">
        <v>0</v>
      </c>
      <c r="G14" s="27">
        <v>1.25</v>
      </c>
      <c r="H14" s="28">
        <v>1.0817699999999999</v>
      </c>
      <c r="I14" s="28">
        <v>1.498E-2</v>
      </c>
      <c r="J14" s="28">
        <v>2.6509999999999999E-2</v>
      </c>
      <c r="K14" s="29">
        <v>0.20949999999999999</v>
      </c>
      <c r="L14" s="29">
        <v>0.14319999999999999</v>
      </c>
      <c r="M14" s="29">
        <v>0.13572999999999999</v>
      </c>
      <c r="N14" s="30">
        <v>0.19428000000000001</v>
      </c>
      <c r="O14" s="30">
        <v>0.23680000000000001</v>
      </c>
      <c r="P14" s="30">
        <v>0.12478</v>
      </c>
      <c r="Q14" s="31">
        <v>1.6080000000000001E-2</v>
      </c>
      <c r="R14" s="32">
        <v>-1.2999999999999999E-4</v>
      </c>
      <c r="S14" s="32">
        <v>-1.2930000000000001E-2</v>
      </c>
      <c r="T14" s="33">
        <v>4.1410000000000002E-2</v>
      </c>
    </row>
    <row r="15" spans="1:23" x14ac:dyDescent="0.15">
      <c r="A15" s="15">
        <v>13</v>
      </c>
      <c r="B15" s="25">
        <v>-493</v>
      </c>
      <c r="C15" s="26">
        <v>0</v>
      </c>
      <c r="D15" s="26">
        <v>0.30000000000000004</v>
      </c>
      <c r="E15" s="27">
        <v>-2.4649999999999999</v>
      </c>
      <c r="F15" s="27">
        <v>0</v>
      </c>
      <c r="G15" s="27">
        <v>1.5</v>
      </c>
      <c r="H15" s="28">
        <v>1.1394200000000001</v>
      </c>
      <c r="I15" s="28">
        <v>1.6080000000000001E-2</v>
      </c>
      <c r="J15" s="28">
        <v>2.6110000000000001E-2</v>
      </c>
      <c r="K15" s="29">
        <v>0.20577000000000001</v>
      </c>
      <c r="L15" s="29">
        <v>0.13869999999999999</v>
      </c>
      <c r="M15" s="29">
        <v>0.12708</v>
      </c>
      <c r="N15" s="30">
        <v>0.20759</v>
      </c>
      <c r="O15" s="30">
        <v>0.23296</v>
      </c>
      <c r="P15" s="30">
        <v>0.12123</v>
      </c>
      <c r="Q15" s="31">
        <v>1.498E-2</v>
      </c>
      <c r="R15" s="32">
        <v>-5.5999999999999995E-4</v>
      </c>
      <c r="S15" s="32">
        <v>-1.251E-2</v>
      </c>
      <c r="T15" s="33">
        <v>3.8859999999999999E-2</v>
      </c>
    </row>
    <row r="16" spans="1:23" x14ac:dyDescent="0.15">
      <c r="A16" s="15">
        <v>14</v>
      </c>
      <c r="B16" s="25">
        <v>-493</v>
      </c>
      <c r="C16" s="26">
        <v>0</v>
      </c>
      <c r="D16" s="26">
        <v>0.35000000000000003</v>
      </c>
      <c r="E16" s="27">
        <v>-2.4649999999999999</v>
      </c>
      <c r="F16" s="27">
        <v>0</v>
      </c>
      <c r="G16" s="27">
        <v>1.75</v>
      </c>
      <c r="H16" s="28">
        <v>1.1998899999999999</v>
      </c>
      <c r="I16" s="28">
        <v>1.0460000000000001E-2</v>
      </c>
      <c r="J16" s="28">
        <v>2.7949999999999999E-2</v>
      </c>
      <c r="K16" s="29">
        <v>0.20177999999999999</v>
      </c>
      <c r="L16" s="29">
        <v>0.13064999999999999</v>
      </c>
      <c r="M16" s="29">
        <v>0.12303</v>
      </c>
      <c r="N16" s="30">
        <v>0.19072</v>
      </c>
      <c r="O16" s="30">
        <v>0.22470999999999999</v>
      </c>
      <c r="P16" s="30">
        <v>0.11964</v>
      </c>
      <c r="Q16" s="31">
        <v>1.44E-2</v>
      </c>
      <c r="R16" s="32">
        <v>-1.1900000000000001E-3</v>
      </c>
      <c r="S16" s="32">
        <v>-1.1820000000000001E-2</v>
      </c>
      <c r="T16" s="33">
        <v>3.6459999999999999E-2</v>
      </c>
    </row>
    <row r="17" spans="1:20" x14ac:dyDescent="0.15">
      <c r="A17" s="15">
        <v>15</v>
      </c>
      <c r="B17" s="25">
        <v>-493</v>
      </c>
      <c r="C17" s="26">
        <v>0</v>
      </c>
      <c r="D17" s="26">
        <v>0.4</v>
      </c>
      <c r="E17" s="27">
        <v>-2.4649999999999999</v>
      </c>
      <c r="F17" s="27">
        <v>0</v>
      </c>
      <c r="G17" s="27">
        <v>2</v>
      </c>
      <c r="H17" s="28">
        <v>1.2387900000000001</v>
      </c>
      <c r="I17" s="28">
        <v>9.8499999999999994E-3</v>
      </c>
      <c r="J17" s="28">
        <v>3.107E-2</v>
      </c>
      <c r="K17" s="29">
        <v>0.18789</v>
      </c>
      <c r="L17" s="29">
        <v>0.11376</v>
      </c>
      <c r="M17" s="29">
        <v>0.11895</v>
      </c>
      <c r="N17" s="30">
        <v>0.17871999999999999</v>
      </c>
      <c r="O17" s="30">
        <v>0.21015</v>
      </c>
      <c r="P17" s="30">
        <v>0.11309</v>
      </c>
      <c r="Q17" s="31">
        <v>1.0919999999999999E-2</v>
      </c>
      <c r="R17" s="32">
        <v>-9.7000000000000005E-4</v>
      </c>
      <c r="S17" s="32">
        <v>-9.0600000000000003E-3</v>
      </c>
      <c r="T17" s="33">
        <v>3.1199999999999999E-2</v>
      </c>
    </row>
    <row r="18" spans="1:20" x14ac:dyDescent="0.15">
      <c r="A18" s="15">
        <v>16</v>
      </c>
      <c r="B18" s="25">
        <v>-493</v>
      </c>
      <c r="C18" s="26">
        <v>0</v>
      </c>
      <c r="D18" s="26">
        <v>0.5</v>
      </c>
      <c r="E18" s="27">
        <v>-2.4649999999999999</v>
      </c>
      <c r="F18" s="27">
        <v>0</v>
      </c>
      <c r="G18" s="27">
        <v>2.5</v>
      </c>
      <c r="H18" s="28">
        <v>1.3239700000000001</v>
      </c>
      <c r="I18" s="28">
        <v>-2.49E-3</v>
      </c>
      <c r="J18" s="28">
        <v>3.8809999999999997E-2</v>
      </c>
      <c r="K18" s="29">
        <v>0.1605</v>
      </c>
      <c r="L18" s="29">
        <v>0.10546</v>
      </c>
      <c r="M18" s="29">
        <v>0.108</v>
      </c>
      <c r="N18" s="30">
        <v>0.16239999999999999</v>
      </c>
      <c r="O18" s="30">
        <v>0.18484</v>
      </c>
      <c r="P18" s="30">
        <v>9.9440000000000001E-2</v>
      </c>
      <c r="Q18" s="31">
        <v>6.3499999999999997E-3</v>
      </c>
      <c r="R18" s="32">
        <v>-3.3E-4</v>
      </c>
      <c r="S18" s="32">
        <v>-4.8199999999999996E-3</v>
      </c>
      <c r="T18" s="33">
        <v>2.427E-2</v>
      </c>
    </row>
    <row r="19" spans="1:20" ht="15" thickBot="1" x14ac:dyDescent="0.2">
      <c r="A19" s="12">
        <v>17</v>
      </c>
      <c r="B19" s="34">
        <v>-493</v>
      </c>
      <c r="C19" s="35">
        <v>0</v>
      </c>
      <c r="D19" s="35">
        <v>0.60000000000000009</v>
      </c>
      <c r="E19" s="36">
        <v>-2.4649999999999999</v>
      </c>
      <c r="F19" s="36">
        <v>0</v>
      </c>
      <c r="G19" s="36">
        <v>3</v>
      </c>
      <c r="H19" s="37">
        <v>1.3357600000000001</v>
      </c>
      <c r="I19" s="37">
        <v>-7.0000000000000001E-3</v>
      </c>
      <c r="J19" s="37">
        <v>3.6260000000000001E-2</v>
      </c>
      <c r="K19" s="38">
        <v>0.14549999999999999</v>
      </c>
      <c r="L19" s="38">
        <v>9.4460000000000002E-2</v>
      </c>
      <c r="M19" s="38">
        <v>0.11001</v>
      </c>
      <c r="N19" s="39">
        <v>0.13932</v>
      </c>
      <c r="O19" s="39">
        <v>0.15357999999999999</v>
      </c>
      <c r="P19" s="39">
        <v>8.5599999999999996E-2</v>
      </c>
      <c r="Q19" s="40">
        <v>1.5299999999999999E-3</v>
      </c>
      <c r="R19" s="41">
        <v>-1.6199999999999999E-3</v>
      </c>
      <c r="S19" s="41">
        <v>-3.6999999999999999E-4</v>
      </c>
      <c r="T19" s="42">
        <v>2.1100000000000001E-2</v>
      </c>
    </row>
  </sheetData>
  <phoneticPr fontId="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3:AI47"/>
  <sheetViews>
    <sheetView zoomScale="85" zoomScaleNormal="85" workbookViewId="0">
      <selection activeCell="P39" sqref="P39"/>
    </sheetView>
  </sheetViews>
  <sheetFormatPr defaultRowHeight="13.5" x14ac:dyDescent="0.15"/>
  <sheetData>
    <row r="3" spans="35:35" x14ac:dyDescent="0.15">
      <c r="AI3" s="5"/>
    </row>
    <row r="45" spans="5:10" ht="18.75" x14ac:dyDescent="0.15">
      <c r="E45" s="6" t="s">
        <v>45</v>
      </c>
      <c r="J45" s="5"/>
    </row>
    <row r="46" spans="5:10" x14ac:dyDescent="0.15">
      <c r="J46" s="5"/>
    </row>
    <row r="47" spans="5:10" x14ac:dyDescent="0.15">
      <c r="J47" s="5"/>
    </row>
  </sheetData>
  <phoneticPr fontId="5"/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G222"/>
  <sheetViews>
    <sheetView tabSelected="1" topLeftCell="A4" zoomScale="70" zoomScaleNormal="70" workbookViewId="0">
      <selection activeCell="Q16" sqref="Q16"/>
    </sheetView>
  </sheetViews>
  <sheetFormatPr defaultRowHeight="15" x14ac:dyDescent="0.15"/>
  <cols>
    <col min="1" max="1" width="9" style="1"/>
    <col min="2" max="4" width="9" style="43"/>
    <col min="5" max="6" width="11.5" style="43" customWidth="1"/>
    <col min="7" max="16" width="9" style="43"/>
    <col min="17" max="17" width="41.5" style="43" customWidth="1"/>
    <col min="18" max="18" width="15.375" style="43" bestFit="1" customWidth="1"/>
    <col min="19" max="22" width="9" style="43"/>
    <col min="23" max="23" width="9.125" style="43" bestFit="1" customWidth="1"/>
    <col min="24" max="24" width="9.125" style="43" customWidth="1"/>
    <col min="25" max="31" width="9.125" style="43" bestFit="1" customWidth="1"/>
    <col min="32" max="32" width="9.875" style="43" bestFit="1" customWidth="1"/>
    <col min="33" max="33" width="9" style="43"/>
    <col min="34" max="16384" width="9" style="1"/>
  </cols>
  <sheetData>
    <row r="2" spans="1:33" s="3" customFormat="1" ht="42.75" x14ac:dyDescent="0.15">
      <c r="B2" s="44" t="s">
        <v>39</v>
      </c>
      <c r="C2" s="45"/>
      <c r="D2" s="46"/>
      <c r="E2" s="47" t="s">
        <v>42</v>
      </c>
      <c r="F2" s="48" t="s">
        <v>43</v>
      </c>
      <c r="G2" s="48"/>
      <c r="H2" s="48"/>
      <c r="I2" s="48"/>
      <c r="J2" s="48"/>
      <c r="K2" s="48"/>
      <c r="L2" s="48"/>
      <c r="M2" s="48"/>
      <c r="N2" s="49"/>
      <c r="O2" s="50"/>
      <c r="P2" s="51"/>
      <c r="Q2" s="51"/>
      <c r="R2" s="51"/>
      <c r="S2" s="51"/>
      <c r="T2" s="44" t="s">
        <v>44</v>
      </c>
      <c r="U2" s="45"/>
      <c r="V2" s="46"/>
      <c r="W2" s="47"/>
      <c r="X2" s="48"/>
      <c r="Y2" s="48"/>
      <c r="Z2" s="48"/>
      <c r="AA2" s="48"/>
      <c r="AB2" s="48"/>
      <c r="AC2" s="48"/>
      <c r="AD2" s="48"/>
      <c r="AE2" s="48"/>
      <c r="AF2" s="49"/>
      <c r="AG2" s="50"/>
    </row>
    <row r="3" spans="1:33" ht="39" customHeight="1" thickBot="1" x14ac:dyDescent="0.2">
      <c r="A3" s="4"/>
      <c r="B3" s="52" t="s">
        <v>19</v>
      </c>
      <c r="C3" s="13" t="s">
        <v>40</v>
      </c>
      <c r="D3" s="13" t="s">
        <v>41</v>
      </c>
      <c r="E3" s="53" t="s">
        <v>3</v>
      </c>
      <c r="F3" s="54" t="s">
        <v>12</v>
      </c>
      <c r="G3" s="54" t="s">
        <v>6</v>
      </c>
      <c r="H3" s="54" t="s">
        <v>7</v>
      </c>
      <c r="I3" s="54" t="s">
        <v>8</v>
      </c>
      <c r="J3" s="54" t="s">
        <v>9</v>
      </c>
      <c r="K3" s="54" t="s">
        <v>10</v>
      </c>
      <c r="L3" s="54" t="s">
        <v>11</v>
      </c>
      <c r="M3" s="54" t="s">
        <v>13</v>
      </c>
      <c r="N3" s="54" t="s">
        <v>5</v>
      </c>
      <c r="O3" s="55" t="s">
        <v>4</v>
      </c>
      <c r="P3" s="56"/>
      <c r="Q3" s="56"/>
      <c r="R3" s="56"/>
      <c r="S3" s="56"/>
      <c r="T3" s="57" t="s">
        <v>0</v>
      </c>
      <c r="U3" s="54" t="s">
        <v>1</v>
      </c>
      <c r="V3" s="55" t="s">
        <v>2</v>
      </c>
      <c r="W3" s="53" t="s">
        <v>46</v>
      </c>
      <c r="X3" s="54" t="s">
        <v>47</v>
      </c>
      <c r="Y3" s="54" t="s">
        <v>48</v>
      </c>
      <c r="Z3" s="54" t="s">
        <v>49</v>
      </c>
      <c r="AA3" s="54" t="s">
        <v>50</v>
      </c>
      <c r="AB3" s="54" t="s">
        <v>51</v>
      </c>
      <c r="AC3" s="54" t="s">
        <v>52</v>
      </c>
      <c r="AD3" s="54" t="s">
        <v>53</v>
      </c>
      <c r="AE3" s="54" t="s">
        <v>54</v>
      </c>
      <c r="AF3" s="54" t="s">
        <v>55</v>
      </c>
      <c r="AG3" s="55" t="s">
        <v>56</v>
      </c>
    </row>
    <row r="4" spans="1:33" x14ac:dyDescent="0.2">
      <c r="A4" s="2"/>
      <c r="B4" s="58">
        <v>-150</v>
      </c>
      <c r="C4" s="59">
        <v>-60</v>
      </c>
      <c r="D4" s="60">
        <v>4</v>
      </c>
      <c r="E4" s="61">
        <v>1.32761</v>
      </c>
      <c r="F4" s="62">
        <v>0.63256000000000001</v>
      </c>
      <c r="G4" s="63">
        <v>1.02454</v>
      </c>
      <c r="H4" s="64">
        <v>2.2239999999999999E-2</v>
      </c>
      <c r="I4" s="64">
        <v>8.5870000000000002E-2</v>
      </c>
      <c r="J4" s="63">
        <v>0.89932999999999996</v>
      </c>
      <c r="K4" s="64">
        <v>0.68228</v>
      </c>
      <c r="L4" s="64">
        <v>0.25135999999999997</v>
      </c>
      <c r="M4" s="65">
        <f>(J4^2+K4^2+L4^2)/2</f>
        <v>0.66874114844999999</v>
      </c>
      <c r="N4" s="66">
        <v>426.44076363636367</v>
      </c>
      <c r="O4" s="67">
        <v>485.48802999999998</v>
      </c>
      <c r="T4" s="58">
        <f t="shared" ref="T4:T67" si="0">B4/200</f>
        <v>-0.75</v>
      </c>
      <c r="U4" s="59">
        <f t="shared" ref="U4:U67" si="1">C4/200</f>
        <v>-0.3</v>
      </c>
      <c r="V4" s="60">
        <f>D4/200</f>
        <v>0.02</v>
      </c>
      <c r="W4" s="61">
        <f t="shared" ref="W4:W35" si="2">E4/$R$8</f>
        <v>0.26874206745221241</v>
      </c>
      <c r="X4" s="63">
        <f t="shared" ref="X4:X35" si="3">F4/$R$8</f>
        <v>0.12804625016953133</v>
      </c>
      <c r="Y4" s="63">
        <f t="shared" ref="Y4:Y35" si="4">G4/$R$8</f>
        <v>0.20739298271893833</v>
      </c>
      <c r="Z4" s="64">
        <f t="shared" ref="Z4:Z35" si="5">H4/$R$8</f>
        <v>4.5019422723067797E-3</v>
      </c>
      <c r="AA4" s="64">
        <f t="shared" ref="AA4:AA35" si="6">I4/$R$8</f>
        <v>1.7382274412004642E-2</v>
      </c>
      <c r="AB4" s="63">
        <f t="shared" ref="AB4:AB35" si="7">J4/$R$8</f>
        <v>0.18204729063640543</v>
      </c>
      <c r="AC4" s="64">
        <f t="shared" ref="AC4:AC35" si="8">K4/$R$8</f>
        <v>0.13811084413441863</v>
      </c>
      <c r="AD4" s="64">
        <f t="shared" ref="AD4:AD35" si="9">L4/$R$8</f>
        <v>5.0881664099237056E-2</v>
      </c>
      <c r="AE4" s="65">
        <f t="shared" ref="AE4:AE67" si="10">M4/$R$8^2</f>
        <v>2.7402382518542562E-2</v>
      </c>
      <c r="AF4" s="66">
        <f t="shared" ref="AF4:AF35" si="11">N4/$R$11</f>
        <v>23.407286133692935</v>
      </c>
      <c r="AG4" s="67">
        <f t="shared" ref="AG4:AG35" si="12">O4/$R$11</f>
        <v>26.64838402358556</v>
      </c>
    </row>
    <row r="5" spans="1:33" x14ac:dyDescent="0.2">
      <c r="A5" s="2"/>
      <c r="B5" s="68">
        <v>-150</v>
      </c>
      <c r="C5" s="69">
        <v>0</v>
      </c>
      <c r="D5" s="70">
        <v>4</v>
      </c>
      <c r="E5" s="71">
        <v>0.92008000000000001</v>
      </c>
      <c r="F5" s="72">
        <v>0.42421999999999999</v>
      </c>
      <c r="G5" s="73">
        <v>-0.72657000000000005</v>
      </c>
      <c r="H5" s="74">
        <v>4.845E-2</v>
      </c>
      <c r="I5" s="74">
        <v>0.22875000000000001</v>
      </c>
      <c r="J5" s="73">
        <v>0.56084999999999996</v>
      </c>
      <c r="K5" s="74">
        <v>0.56489</v>
      </c>
      <c r="L5" s="74">
        <v>0.25115999999999999</v>
      </c>
      <c r="M5" s="75">
        <f t="shared" ref="M5:M68" si="13">(J5^2+K5^2+L5^2)/2</f>
        <v>0.34836739010000001</v>
      </c>
      <c r="N5" s="76">
        <v>3747.080089090909</v>
      </c>
      <c r="O5" s="77">
        <v>990.69233999999994</v>
      </c>
      <c r="T5" s="68">
        <f t="shared" si="0"/>
        <v>-0.75</v>
      </c>
      <c r="U5" s="69">
        <f t="shared" si="1"/>
        <v>0</v>
      </c>
      <c r="V5" s="70">
        <f t="shared" ref="V5:V67" si="14">D5/200</f>
        <v>0.02</v>
      </c>
      <c r="W5" s="71">
        <f t="shared" si="2"/>
        <v>0.1862476189705046</v>
      </c>
      <c r="X5" s="63">
        <f t="shared" si="3"/>
        <v>8.5872929440556758E-2</v>
      </c>
      <c r="Y5" s="73">
        <f t="shared" si="4"/>
        <v>-0.14707626784127417</v>
      </c>
      <c r="Z5" s="74">
        <f t="shared" si="5"/>
        <v>9.8075136282942225E-3</v>
      </c>
      <c r="AA5" s="74">
        <f t="shared" si="6"/>
        <v>4.630482440603309E-2</v>
      </c>
      <c r="AB5" s="73">
        <f t="shared" si="7"/>
        <v>0.11353032029780834</v>
      </c>
      <c r="AC5" s="74">
        <f t="shared" si="8"/>
        <v>0.11434811916382091</v>
      </c>
      <c r="AD5" s="74">
        <f t="shared" si="9"/>
        <v>5.08411790068602E-2</v>
      </c>
      <c r="AE5" s="75">
        <f t="shared" si="10"/>
        <v>1.4274725733016972E-2</v>
      </c>
      <c r="AF5" s="76">
        <f t="shared" si="11"/>
        <v>205.67680974796792</v>
      </c>
      <c r="AG5" s="77">
        <f t="shared" si="12"/>
        <v>54.378992465673342</v>
      </c>
    </row>
    <row r="6" spans="1:33" ht="15.75" thickBot="1" x14ac:dyDescent="0.25">
      <c r="A6" s="2"/>
      <c r="B6" s="68">
        <v>-150</v>
      </c>
      <c r="C6" s="69">
        <v>60</v>
      </c>
      <c r="D6" s="70">
        <v>4</v>
      </c>
      <c r="E6" s="71">
        <v>1.33538</v>
      </c>
      <c r="F6" s="72">
        <v>0.64112000000000002</v>
      </c>
      <c r="G6" s="73">
        <v>1.05827</v>
      </c>
      <c r="H6" s="74">
        <v>3.6749999999999998E-2</v>
      </c>
      <c r="I6" s="74">
        <v>8.4779999999999994E-2</v>
      </c>
      <c r="J6" s="73">
        <v>0.87695000000000001</v>
      </c>
      <c r="K6" s="74">
        <v>0.71706000000000003</v>
      </c>
      <c r="L6" s="74">
        <v>0.23701</v>
      </c>
      <c r="M6" s="75">
        <f t="shared" si="13"/>
        <v>0.66969504310000005</v>
      </c>
      <c r="N6" s="76">
        <v>216.80494818181819</v>
      </c>
      <c r="O6" s="77">
        <v>353.19105999999999</v>
      </c>
      <c r="T6" s="68">
        <f t="shared" si="0"/>
        <v>-0.75</v>
      </c>
      <c r="U6" s="69">
        <f t="shared" si="1"/>
        <v>0.3</v>
      </c>
      <c r="V6" s="70">
        <f t="shared" si="14"/>
        <v>0.02</v>
      </c>
      <c r="W6" s="71">
        <f t="shared" si="2"/>
        <v>0.27031491329105345</v>
      </c>
      <c r="X6" s="63">
        <f t="shared" si="3"/>
        <v>0.12977901212326093</v>
      </c>
      <c r="Y6" s="73">
        <f t="shared" si="4"/>
        <v>0.21422079354829571</v>
      </c>
      <c r="Z6" s="74">
        <f t="shared" si="5"/>
        <v>7.4391357242479389E-3</v>
      </c>
      <c r="AA6" s="74">
        <f t="shared" si="6"/>
        <v>1.7161630658550756E-2</v>
      </c>
      <c r="AB6" s="73">
        <f t="shared" si="7"/>
        <v>0.17751700879943486</v>
      </c>
      <c r="AC6" s="74">
        <f t="shared" si="8"/>
        <v>0.14515120169875451</v>
      </c>
      <c r="AD6" s="74">
        <f t="shared" si="9"/>
        <v>4.7976858721197391E-2</v>
      </c>
      <c r="AE6" s="75">
        <f t="shared" si="10"/>
        <v>2.7441469370222436E-2</v>
      </c>
      <c r="AF6" s="76">
        <f t="shared" si="11"/>
        <v>11.900399516261317</v>
      </c>
      <c r="AG6" s="77">
        <f t="shared" si="12"/>
        <v>19.386618039948893</v>
      </c>
    </row>
    <row r="7" spans="1:33" ht="18" x14ac:dyDescent="0.2">
      <c r="A7" s="2"/>
      <c r="B7" s="68">
        <v>-120</v>
      </c>
      <c r="C7" s="69">
        <v>-60</v>
      </c>
      <c r="D7" s="70">
        <v>4</v>
      </c>
      <c r="E7" s="71">
        <v>1.3520399999999999</v>
      </c>
      <c r="F7" s="72">
        <v>0.59970000000000001</v>
      </c>
      <c r="G7" s="73">
        <v>1.1103400000000001</v>
      </c>
      <c r="H7" s="74">
        <v>1.519E-2</v>
      </c>
      <c r="I7" s="74">
        <v>0.11656</v>
      </c>
      <c r="J7" s="73">
        <v>0.77105000000000001</v>
      </c>
      <c r="K7" s="74">
        <v>0.91625000000000001</v>
      </c>
      <c r="L7" s="74">
        <v>0.29427999999999999</v>
      </c>
      <c r="M7" s="75">
        <f t="shared" si="13"/>
        <v>0.76031644170000001</v>
      </c>
      <c r="N7" s="76">
        <v>440.79394181818179</v>
      </c>
      <c r="O7" s="77">
        <v>390.92137000000002</v>
      </c>
      <c r="Q7" s="78" t="s">
        <v>57</v>
      </c>
      <c r="R7" s="79">
        <v>0.2</v>
      </c>
      <c r="T7" s="68">
        <f t="shared" si="0"/>
        <v>-0.6</v>
      </c>
      <c r="U7" s="69">
        <f t="shared" si="1"/>
        <v>-0.3</v>
      </c>
      <c r="V7" s="70">
        <f t="shared" si="14"/>
        <v>0.02</v>
      </c>
      <c r="W7" s="71">
        <f t="shared" si="2"/>
        <v>0.2736873214860458</v>
      </c>
      <c r="X7" s="63">
        <f t="shared" si="3"/>
        <v>0.12139454949201331</v>
      </c>
      <c r="Y7" s="73">
        <f t="shared" si="4"/>
        <v>0.22476108734861108</v>
      </c>
      <c r="Z7" s="74">
        <f t="shared" si="5"/>
        <v>3.0748427660224815E-3</v>
      </c>
      <c r="AA7" s="74">
        <f t="shared" si="6"/>
        <v>2.3594711837233735E-2</v>
      </c>
      <c r="AB7" s="73">
        <f t="shared" si="7"/>
        <v>0.15608015238588771</v>
      </c>
      <c r="AC7" s="74">
        <f t="shared" si="8"/>
        <v>0.18547232945148773</v>
      </c>
      <c r="AD7" s="74">
        <f t="shared" si="9"/>
        <v>5.9569764923311112E-2</v>
      </c>
      <c r="AE7" s="75">
        <f t="shared" si="10"/>
        <v>3.1154777926990843E-2</v>
      </c>
      <c r="AF7" s="76">
        <f t="shared" si="11"/>
        <v>24.195130489295355</v>
      </c>
      <c r="AG7" s="77">
        <f t="shared" si="12"/>
        <v>21.457630563592229</v>
      </c>
    </row>
    <row r="8" spans="1:33" ht="21" x14ac:dyDescent="0.2">
      <c r="A8" s="2"/>
      <c r="B8" s="68">
        <v>-120</v>
      </c>
      <c r="C8" s="69">
        <v>60</v>
      </c>
      <c r="D8" s="70">
        <v>4</v>
      </c>
      <c r="E8" s="71">
        <v>1.38466</v>
      </c>
      <c r="F8" s="72">
        <v>0.63851999999999998</v>
      </c>
      <c r="G8" s="73">
        <v>1.1422399999999999</v>
      </c>
      <c r="H8" s="74">
        <v>6.8100000000000001E-3</v>
      </c>
      <c r="I8" s="74">
        <v>0.11362999999999999</v>
      </c>
      <c r="J8" s="73">
        <v>0.80537999999999998</v>
      </c>
      <c r="K8" s="74">
        <v>0.89354</v>
      </c>
      <c r="L8" s="74">
        <v>0.28214</v>
      </c>
      <c r="M8" s="75">
        <f t="shared" si="13"/>
        <v>0.76332682779999994</v>
      </c>
      <c r="N8" s="76">
        <v>303.26362545454549</v>
      </c>
      <c r="O8" s="77">
        <v>355.30437000000001</v>
      </c>
      <c r="Q8" s="80" t="s">
        <v>58</v>
      </c>
      <c r="R8" s="81">
        <v>4.9400899999999996</v>
      </c>
      <c r="T8" s="68">
        <f t="shared" si="0"/>
        <v>-0.6</v>
      </c>
      <c r="U8" s="69">
        <f t="shared" si="1"/>
        <v>0.3</v>
      </c>
      <c r="V8" s="70">
        <f t="shared" si="14"/>
        <v>0.02</v>
      </c>
      <c r="W8" s="71">
        <f t="shared" si="2"/>
        <v>0.28029044005271159</v>
      </c>
      <c r="X8" s="63">
        <f t="shared" si="3"/>
        <v>0.12925270592236174</v>
      </c>
      <c r="Y8" s="73">
        <f t="shared" si="4"/>
        <v>0.23121845958272016</v>
      </c>
      <c r="Z8" s="74">
        <f t="shared" si="5"/>
        <v>1.3785173954320672E-3</v>
      </c>
      <c r="AA8" s="74">
        <f t="shared" si="6"/>
        <v>2.3001605233912745E-2</v>
      </c>
      <c r="AB8" s="73">
        <f t="shared" si="7"/>
        <v>0.16302941849237565</v>
      </c>
      <c r="AC8" s="74">
        <f t="shared" si="8"/>
        <v>0.18087524721209533</v>
      </c>
      <c r="AD8" s="74">
        <f t="shared" si="9"/>
        <v>5.7112319816035748E-2</v>
      </c>
      <c r="AE8" s="75">
        <f t="shared" si="10"/>
        <v>3.1278131711383952E-2</v>
      </c>
      <c r="AF8" s="76">
        <f t="shared" si="11"/>
        <v>16.646106705241621</v>
      </c>
      <c r="AG8" s="77">
        <f t="shared" si="12"/>
        <v>19.502617391036672</v>
      </c>
    </row>
    <row r="9" spans="1:33" ht="21" x14ac:dyDescent="0.2">
      <c r="A9" s="2"/>
      <c r="B9" s="68">
        <v>-90</v>
      </c>
      <c r="C9" s="69">
        <v>-60</v>
      </c>
      <c r="D9" s="70">
        <v>4</v>
      </c>
      <c r="E9" s="71">
        <v>1.2846500000000001</v>
      </c>
      <c r="F9" s="72">
        <v>0.62839</v>
      </c>
      <c r="G9" s="73">
        <v>1.10778</v>
      </c>
      <c r="H9" s="74">
        <v>1.0300000000000001E-3</v>
      </c>
      <c r="I9" s="74">
        <v>0.10605000000000001</v>
      </c>
      <c r="J9" s="73">
        <v>0.75131000000000003</v>
      </c>
      <c r="K9" s="74">
        <v>0.54984</v>
      </c>
      <c r="L9" s="74">
        <v>0.26049</v>
      </c>
      <c r="M9" s="75">
        <f t="shared" si="13"/>
        <v>0.46732289090000001</v>
      </c>
      <c r="N9" s="76">
        <v>435.44725545454543</v>
      </c>
      <c r="O9" s="77">
        <v>322.40868999999998</v>
      </c>
      <c r="Q9" s="82" t="s">
        <v>59</v>
      </c>
      <c r="R9" s="83">
        <f>1*10^6</f>
        <v>1000000</v>
      </c>
      <c r="T9" s="68">
        <f t="shared" si="0"/>
        <v>-0.45</v>
      </c>
      <c r="U9" s="69">
        <f t="shared" si="1"/>
        <v>-0.3</v>
      </c>
      <c r="V9" s="70">
        <f t="shared" si="14"/>
        <v>0.02</v>
      </c>
      <c r="W9" s="71">
        <f t="shared" si="2"/>
        <v>0.26004586960966303</v>
      </c>
      <c r="X9" s="63">
        <f t="shared" si="3"/>
        <v>0.12720213599347382</v>
      </c>
      <c r="Y9" s="73">
        <f t="shared" si="4"/>
        <v>0.22424287816618726</v>
      </c>
      <c r="Z9" s="74">
        <f t="shared" si="5"/>
        <v>2.0849822574082661E-4</v>
      </c>
      <c r="AA9" s="74">
        <f t="shared" si="6"/>
        <v>2.1467220232829768E-2</v>
      </c>
      <c r="AB9" s="73">
        <f t="shared" si="7"/>
        <v>0.1520842737682917</v>
      </c>
      <c r="AC9" s="74">
        <f t="shared" si="8"/>
        <v>0.11130161596246223</v>
      </c>
      <c r="AD9" s="74">
        <f t="shared" si="9"/>
        <v>5.2729808566240696E-2</v>
      </c>
      <c r="AE9" s="75">
        <f t="shared" si="10"/>
        <v>1.9149054377458258E-2</v>
      </c>
      <c r="AF9" s="76">
        <f t="shared" si="11"/>
        <v>23.90165146887162</v>
      </c>
      <c r="AG9" s="77">
        <f t="shared" si="12"/>
        <v>17.696977170912223</v>
      </c>
    </row>
    <row r="10" spans="1:33" ht="18" x14ac:dyDescent="0.2">
      <c r="A10" s="2"/>
      <c r="B10" s="68">
        <v>-90</v>
      </c>
      <c r="C10" s="69">
        <v>60</v>
      </c>
      <c r="D10" s="70">
        <v>4</v>
      </c>
      <c r="E10" s="71">
        <v>1.26779</v>
      </c>
      <c r="F10" s="72">
        <v>0.64515</v>
      </c>
      <c r="G10" s="73">
        <v>1.0872299999999999</v>
      </c>
      <c r="H10" s="74">
        <v>2.4000000000000001E-4</v>
      </c>
      <c r="I10" s="74">
        <v>0.10019</v>
      </c>
      <c r="J10" s="73">
        <v>0.76663000000000003</v>
      </c>
      <c r="K10" s="74">
        <v>0.55350999999999995</v>
      </c>
      <c r="L10" s="74">
        <v>0.24712000000000001</v>
      </c>
      <c r="M10" s="75">
        <f t="shared" si="13"/>
        <v>0.47758158569999998</v>
      </c>
      <c r="N10" s="76">
        <v>284.45755272727268</v>
      </c>
      <c r="O10" s="77">
        <v>280.12718000000001</v>
      </c>
      <c r="Q10" s="84" t="s">
        <v>60</v>
      </c>
      <c r="R10" s="85">
        <f>216/60/10^6</f>
        <v>3.6000000000000003E-6</v>
      </c>
      <c r="T10" s="68">
        <f t="shared" si="0"/>
        <v>-0.45</v>
      </c>
      <c r="U10" s="69">
        <f t="shared" si="1"/>
        <v>0.3</v>
      </c>
      <c r="V10" s="70">
        <f t="shared" si="14"/>
        <v>0.02</v>
      </c>
      <c r="W10" s="71">
        <f t="shared" si="2"/>
        <v>0.25663297632229376</v>
      </c>
      <c r="X10" s="63">
        <f t="shared" si="3"/>
        <v>0.13059478673465463</v>
      </c>
      <c r="Y10" s="73">
        <f t="shared" si="4"/>
        <v>0.22008303492446493</v>
      </c>
      <c r="Z10" s="74">
        <f t="shared" si="5"/>
        <v>4.8582110852231444E-5</v>
      </c>
      <c r="AA10" s="74">
        <f t="shared" si="6"/>
        <v>2.0281007026187785E-2</v>
      </c>
      <c r="AB10" s="73">
        <f t="shared" si="7"/>
        <v>0.15518543184435912</v>
      </c>
      <c r="AC10" s="74">
        <f t="shared" si="8"/>
        <v>0.11204451740757759</v>
      </c>
      <c r="AD10" s="74">
        <f t="shared" si="9"/>
        <v>5.0023380140847638E-2</v>
      </c>
      <c r="AE10" s="75">
        <f t="shared" si="10"/>
        <v>1.956941534926647E-2</v>
      </c>
      <c r="AF10" s="76">
        <f t="shared" si="11"/>
        <v>15.613843462805253</v>
      </c>
      <c r="AG10" s="77">
        <f t="shared" si="12"/>
        <v>15.37614978495778</v>
      </c>
    </row>
    <row r="11" spans="1:33" ht="21.75" thickBot="1" x14ac:dyDescent="0.25">
      <c r="A11" s="2"/>
      <c r="B11" s="68">
        <v>-50</v>
      </c>
      <c r="C11" s="69">
        <v>-60</v>
      </c>
      <c r="D11" s="70">
        <v>4</v>
      </c>
      <c r="E11" s="71">
        <v>1.24902</v>
      </c>
      <c r="F11" s="72">
        <v>0.63446999999999998</v>
      </c>
      <c r="G11" s="73">
        <v>1.0145</v>
      </c>
      <c r="H11" s="74">
        <v>-9.4299999999999991E-3</v>
      </c>
      <c r="I11" s="74">
        <v>7.0889999999999995E-2</v>
      </c>
      <c r="J11" s="73">
        <v>0.82252999999999998</v>
      </c>
      <c r="K11" s="74">
        <v>0.56106999999999996</v>
      </c>
      <c r="L11" s="74">
        <v>0.22037999999999999</v>
      </c>
      <c r="M11" s="75">
        <f t="shared" si="13"/>
        <v>0.51996124509999997</v>
      </c>
      <c r="N11" s="76">
        <v>335.89274272727272</v>
      </c>
      <c r="O11" s="77">
        <v>220.94023999999999</v>
      </c>
      <c r="Q11" s="86" t="s">
        <v>61</v>
      </c>
      <c r="R11" s="87">
        <f>R10/(R7^2*R8)*10^6</f>
        <v>18.218291569586786</v>
      </c>
      <c r="T11" s="68">
        <f t="shared" si="0"/>
        <v>-0.25</v>
      </c>
      <c r="U11" s="69">
        <f t="shared" si="1"/>
        <v>-0.3</v>
      </c>
      <c r="V11" s="70">
        <f t="shared" si="14"/>
        <v>0.02</v>
      </c>
      <c r="W11" s="71">
        <f t="shared" si="2"/>
        <v>0.25283345040272548</v>
      </c>
      <c r="X11" s="63">
        <f t="shared" si="3"/>
        <v>0.12843288280173035</v>
      </c>
      <c r="Y11" s="73">
        <f t="shared" si="4"/>
        <v>0.20536063108161998</v>
      </c>
      <c r="Z11" s="74">
        <f t="shared" si="5"/>
        <v>-1.9088721055689269E-3</v>
      </c>
      <c r="AA11" s="74">
        <f t="shared" si="6"/>
        <v>1.434994099297786E-2</v>
      </c>
      <c r="AB11" s="73">
        <f t="shared" si="7"/>
        <v>0.16650101516369137</v>
      </c>
      <c r="AC11" s="74">
        <f t="shared" si="8"/>
        <v>0.11357485389942289</v>
      </c>
      <c r="AD11" s="74">
        <f t="shared" si="9"/>
        <v>4.4610523290061516E-2</v>
      </c>
      <c r="AE11" s="75">
        <f t="shared" si="10"/>
        <v>2.1305967138514077E-2</v>
      </c>
      <c r="AF11" s="76">
        <f t="shared" si="11"/>
        <v>18.437115326884143</v>
      </c>
      <c r="AG11" s="77">
        <f t="shared" si="12"/>
        <v>12.127385224684446</v>
      </c>
    </row>
    <row r="12" spans="1:33" x14ac:dyDescent="0.2">
      <c r="A12" s="2"/>
      <c r="B12" s="68">
        <v>-50</v>
      </c>
      <c r="C12" s="69">
        <v>0</v>
      </c>
      <c r="D12" s="70">
        <v>4</v>
      </c>
      <c r="E12" s="71">
        <v>0.65447999999999995</v>
      </c>
      <c r="F12" s="72">
        <v>0.27005000000000001</v>
      </c>
      <c r="G12" s="73">
        <v>-0.432</v>
      </c>
      <c r="H12" s="74">
        <v>6.45E-3</v>
      </c>
      <c r="I12" s="74">
        <v>0.25496999999999997</v>
      </c>
      <c r="J12" s="73">
        <v>0.40028999999999998</v>
      </c>
      <c r="K12" s="74">
        <v>0.62034999999999996</v>
      </c>
      <c r="L12" s="74">
        <v>0.22899</v>
      </c>
      <c r="M12" s="75">
        <f t="shared" si="13"/>
        <v>0.29875131334999999</v>
      </c>
      <c r="N12" s="76">
        <v>283.66704090909087</v>
      </c>
      <c r="O12" s="77">
        <v>92.886740000000003</v>
      </c>
      <c r="S12" s="88"/>
      <c r="T12" s="68">
        <f t="shared" si="0"/>
        <v>-0.25</v>
      </c>
      <c r="U12" s="69">
        <f t="shared" si="1"/>
        <v>0</v>
      </c>
      <c r="V12" s="70">
        <f t="shared" si="14"/>
        <v>0.02</v>
      </c>
      <c r="W12" s="71">
        <f t="shared" si="2"/>
        <v>0.13248341629403512</v>
      </c>
      <c r="X12" s="63">
        <f t="shared" si="3"/>
        <v>5.4664995981854585E-2</v>
      </c>
      <c r="Y12" s="73">
        <f t="shared" si="4"/>
        <v>-8.7447799534016588E-2</v>
      </c>
      <c r="Z12" s="74">
        <f t="shared" si="5"/>
        <v>1.30564422915372E-3</v>
      </c>
      <c r="AA12" s="74">
        <f t="shared" si="6"/>
        <v>5.161242001663937E-2</v>
      </c>
      <c r="AB12" s="73">
        <f t="shared" si="7"/>
        <v>8.1028888137665511E-2</v>
      </c>
      <c r="AC12" s="74">
        <f t="shared" si="8"/>
        <v>0.12557463527992405</v>
      </c>
      <c r="AD12" s="74">
        <f t="shared" si="9"/>
        <v>4.6353406516885326E-2</v>
      </c>
      <c r="AE12" s="75">
        <f t="shared" si="10"/>
        <v>1.2241654017115943E-2</v>
      </c>
      <c r="AF12" s="76">
        <f t="shared" si="11"/>
        <v>15.570452356939899</v>
      </c>
      <c r="AG12" s="77">
        <f t="shared" si="12"/>
        <v>5.0985428378511122</v>
      </c>
    </row>
    <row r="13" spans="1:33" x14ac:dyDescent="0.2">
      <c r="A13" s="2"/>
      <c r="B13" s="68">
        <v>-50</v>
      </c>
      <c r="C13" s="69">
        <v>60</v>
      </c>
      <c r="D13" s="70">
        <v>4</v>
      </c>
      <c r="E13" s="71">
        <v>1.2386900000000001</v>
      </c>
      <c r="F13" s="72">
        <v>0.62722999999999995</v>
      </c>
      <c r="G13" s="73">
        <v>1.00996</v>
      </c>
      <c r="H13" s="74">
        <v>3.6600000000000001E-3</v>
      </c>
      <c r="I13" s="74">
        <v>7.4609999999999996E-2</v>
      </c>
      <c r="J13" s="73">
        <v>0.8054</v>
      </c>
      <c r="K13" s="74">
        <v>0.58720000000000006</v>
      </c>
      <c r="L13" s="74">
        <v>0.21049000000000001</v>
      </c>
      <c r="M13" s="75">
        <f t="shared" si="13"/>
        <v>0.51888952005</v>
      </c>
      <c r="N13" s="76">
        <v>244.68180545454547</v>
      </c>
      <c r="O13" s="77">
        <v>204.56992</v>
      </c>
      <c r="S13" s="88"/>
      <c r="T13" s="68">
        <f t="shared" si="0"/>
        <v>-0.25</v>
      </c>
      <c r="U13" s="69">
        <f t="shared" si="1"/>
        <v>0.3</v>
      </c>
      <c r="V13" s="70">
        <f t="shared" si="14"/>
        <v>0.02</v>
      </c>
      <c r="W13" s="71">
        <f t="shared" si="2"/>
        <v>0.2507423953814607</v>
      </c>
      <c r="X13" s="63">
        <f t="shared" si="3"/>
        <v>0.12696732245768802</v>
      </c>
      <c r="Y13" s="73">
        <f t="shared" si="4"/>
        <v>0.20444161948466527</v>
      </c>
      <c r="Z13" s="74">
        <f t="shared" si="5"/>
        <v>7.408771904965295E-4</v>
      </c>
      <c r="AA13" s="74">
        <f t="shared" si="6"/>
        <v>1.5102963711187448E-2</v>
      </c>
      <c r="AB13" s="73">
        <f t="shared" si="7"/>
        <v>0.16303346700161334</v>
      </c>
      <c r="AC13" s="74">
        <f t="shared" si="8"/>
        <v>0.1188642312184596</v>
      </c>
      <c r="AD13" s="74">
        <f t="shared" si="9"/>
        <v>4.2608535472025817E-2</v>
      </c>
      <c r="AE13" s="75">
        <f t="shared" si="10"/>
        <v>2.1262052060396226E-2</v>
      </c>
      <c r="AF13" s="76">
        <f t="shared" si="11"/>
        <v>13.43055711453273</v>
      </c>
      <c r="AG13" s="77">
        <f t="shared" si="12"/>
        <v>11.22882017880889</v>
      </c>
    </row>
    <row r="14" spans="1:33" x14ac:dyDescent="0.2">
      <c r="A14" s="2"/>
      <c r="B14" s="68">
        <v>-30</v>
      </c>
      <c r="C14" s="69">
        <v>-180</v>
      </c>
      <c r="D14" s="70">
        <v>4</v>
      </c>
      <c r="E14" s="71">
        <v>1.2101900000000001</v>
      </c>
      <c r="F14" s="72">
        <v>0.61439999999999995</v>
      </c>
      <c r="G14" s="73">
        <v>0.80720999999999998</v>
      </c>
      <c r="H14" s="74">
        <v>3.5200000000000001E-3</v>
      </c>
      <c r="I14" s="74">
        <v>9.8019999999999996E-2</v>
      </c>
      <c r="J14" s="73">
        <v>0.93279999999999996</v>
      </c>
      <c r="K14" s="74">
        <v>0.71035000000000004</v>
      </c>
      <c r="L14" s="74">
        <v>0.24093000000000001</v>
      </c>
      <c r="M14" s="75">
        <f t="shared" si="13"/>
        <v>0.71638011369999999</v>
      </c>
      <c r="N14" s="76">
        <v>27.646281538461537</v>
      </c>
      <c r="O14" s="77">
        <v>39.191600000000001</v>
      </c>
      <c r="S14" s="88"/>
      <c r="T14" s="68">
        <f t="shared" si="0"/>
        <v>-0.15</v>
      </c>
      <c r="U14" s="69">
        <f t="shared" si="1"/>
        <v>-0.9</v>
      </c>
      <c r="V14" s="70">
        <f t="shared" si="14"/>
        <v>0.02</v>
      </c>
      <c r="W14" s="71">
        <f t="shared" si="2"/>
        <v>0.24497326971775821</v>
      </c>
      <c r="X14" s="63">
        <f t="shared" si="3"/>
        <v>0.12437020378171247</v>
      </c>
      <c r="Y14" s="73">
        <f t="shared" si="4"/>
        <v>0.16339985708762392</v>
      </c>
      <c r="Z14" s="74">
        <f t="shared" si="5"/>
        <v>7.1253762583272783E-4</v>
      </c>
      <c r="AA14" s="74">
        <f t="shared" si="6"/>
        <v>1.9841743773898857E-2</v>
      </c>
      <c r="AB14" s="73">
        <f t="shared" si="7"/>
        <v>0.18882247084567286</v>
      </c>
      <c r="AC14" s="74">
        <f t="shared" si="8"/>
        <v>0.14379292684951087</v>
      </c>
      <c r="AD14" s="74">
        <f t="shared" si="9"/>
        <v>4.8770366531783842E-2</v>
      </c>
      <c r="AE14" s="75">
        <f t="shared" si="10"/>
        <v>2.9354439979929151E-2</v>
      </c>
      <c r="AF14" s="76">
        <f t="shared" si="11"/>
        <v>1.5175013218370943</v>
      </c>
      <c r="AG14" s="77">
        <f t="shared" si="12"/>
        <v>2.1512225693777784</v>
      </c>
    </row>
    <row r="15" spans="1:33" x14ac:dyDescent="0.2">
      <c r="A15" s="2"/>
      <c r="B15" s="68">
        <v>-30</v>
      </c>
      <c r="C15" s="69">
        <v>-120</v>
      </c>
      <c r="D15" s="70">
        <v>4</v>
      </c>
      <c r="E15" s="71">
        <v>0.86868999999999996</v>
      </c>
      <c r="F15" s="72">
        <v>0.42036000000000001</v>
      </c>
      <c r="G15" s="73">
        <v>-0.63321000000000005</v>
      </c>
      <c r="H15" s="74">
        <v>0.10752</v>
      </c>
      <c r="I15" s="74">
        <v>0.20924999999999999</v>
      </c>
      <c r="J15" s="73">
        <v>0.56796000000000002</v>
      </c>
      <c r="K15" s="74">
        <v>0.60050000000000003</v>
      </c>
      <c r="L15" s="74">
        <v>0.27123999999999998</v>
      </c>
      <c r="M15" s="75">
        <f t="shared" si="13"/>
        <v>0.37837497460000008</v>
      </c>
      <c r="N15" s="76">
        <v>121.95060307692307</v>
      </c>
      <c r="O15" s="77">
        <v>102.85614</v>
      </c>
      <c r="S15" s="88"/>
      <c r="T15" s="68">
        <f t="shared" si="0"/>
        <v>-0.15</v>
      </c>
      <c r="U15" s="69">
        <f t="shared" si="1"/>
        <v>-0.6</v>
      </c>
      <c r="V15" s="70">
        <f t="shared" si="14"/>
        <v>0.02</v>
      </c>
      <c r="W15" s="71">
        <f t="shared" si="2"/>
        <v>0.17584497448427053</v>
      </c>
      <c r="X15" s="63">
        <f t="shared" si="3"/>
        <v>8.5091567157683373E-2</v>
      </c>
      <c r="Y15" s="73">
        <f t="shared" si="4"/>
        <v>-0.12817782671975614</v>
      </c>
      <c r="Z15" s="74">
        <f t="shared" si="5"/>
        <v>2.1764785661799686E-2</v>
      </c>
      <c r="AA15" s="74">
        <f t="shared" si="6"/>
        <v>4.2357527899289288E-2</v>
      </c>
      <c r="AB15" s="73">
        <f t="shared" si="7"/>
        <v>0.1149695653318057</v>
      </c>
      <c r="AC15" s="74">
        <f t="shared" si="8"/>
        <v>0.12155648986152076</v>
      </c>
      <c r="AD15" s="74">
        <f t="shared" si="9"/>
        <v>5.4905882281496898E-2</v>
      </c>
      <c r="AE15" s="75">
        <f t="shared" si="10"/>
        <v>1.5504318544573971E-2</v>
      </c>
      <c r="AF15" s="76">
        <f t="shared" si="11"/>
        <v>6.6938550528252998</v>
      </c>
      <c r="AG15" s="77">
        <f t="shared" si="12"/>
        <v>5.6457620961400012</v>
      </c>
    </row>
    <row r="16" spans="1:33" x14ac:dyDescent="0.2">
      <c r="A16" s="2"/>
      <c r="B16" s="68">
        <v>-30</v>
      </c>
      <c r="C16" s="69">
        <v>-60</v>
      </c>
      <c r="D16" s="70">
        <v>4</v>
      </c>
      <c r="E16" s="71">
        <v>1.2341899999999999</v>
      </c>
      <c r="F16" s="72">
        <v>0.59958999999999996</v>
      </c>
      <c r="G16" s="73">
        <v>0.90024000000000004</v>
      </c>
      <c r="H16" s="74">
        <v>5.79E-3</v>
      </c>
      <c r="I16" s="74">
        <v>8.8300000000000003E-2</v>
      </c>
      <c r="J16" s="73">
        <v>0.88238000000000005</v>
      </c>
      <c r="K16" s="74">
        <v>0.72957000000000005</v>
      </c>
      <c r="L16" s="74">
        <v>0.24227000000000001</v>
      </c>
      <c r="M16" s="75">
        <f t="shared" si="13"/>
        <v>0.68478080110000006</v>
      </c>
      <c r="N16" s="76">
        <v>288.69183636363636</v>
      </c>
      <c r="O16" s="77">
        <v>189.58156</v>
      </c>
      <c r="S16" s="88"/>
      <c r="T16" s="68">
        <f t="shared" si="0"/>
        <v>-0.15</v>
      </c>
      <c r="U16" s="69">
        <f t="shared" si="1"/>
        <v>-0.3</v>
      </c>
      <c r="V16" s="70">
        <f t="shared" si="14"/>
        <v>0.02</v>
      </c>
      <c r="W16" s="71">
        <f t="shared" si="2"/>
        <v>0.24983148080298131</v>
      </c>
      <c r="X16" s="63">
        <f t="shared" si="3"/>
        <v>0.12137228269120603</v>
      </c>
      <c r="Y16" s="73">
        <f t="shared" si="4"/>
        <v>0.18223149780672016</v>
      </c>
      <c r="Z16" s="74">
        <f t="shared" si="5"/>
        <v>1.1720434243100836E-3</v>
      </c>
      <c r="AA16" s="74">
        <f t="shared" si="6"/>
        <v>1.7874168284383485E-2</v>
      </c>
      <c r="AB16" s="73">
        <f t="shared" si="7"/>
        <v>0.1786161790574666</v>
      </c>
      <c r="AC16" s="74">
        <f t="shared" si="8"/>
        <v>0.14768354422692706</v>
      </c>
      <c r="AD16" s="74">
        <f t="shared" si="9"/>
        <v>4.9041616650708796E-2</v>
      </c>
      <c r="AE16" s="75">
        <f t="shared" si="10"/>
        <v>2.8059624410115381E-2</v>
      </c>
      <c r="AF16" s="76">
        <f t="shared" si="11"/>
        <v>15.846262821129296</v>
      </c>
      <c r="AG16" s="77">
        <f t="shared" si="12"/>
        <v>10.406110763782223</v>
      </c>
    </row>
    <row r="17" spans="1:33" x14ac:dyDescent="0.2">
      <c r="A17" s="2"/>
      <c r="B17" s="68">
        <v>-30</v>
      </c>
      <c r="C17" s="69">
        <v>0</v>
      </c>
      <c r="D17" s="70">
        <v>4</v>
      </c>
      <c r="E17" s="71">
        <v>0.88422999999999996</v>
      </c>
      <c r="F17" s="72">
        <v>0.41743999999999998</v>
      </c>
      <c r="G17" s="73">
        <v>-0.64488999999999996</v>
      </c>
      <c r="H17" s="74">
        <v>9.7369999999999998E-2</v>
      </c>
      <c r="I17" s="74">
        <v>0.1943</v>
      </c>
      <c r="J17" s="73">
        <v>0.58801000000000003</v>
      </c>
      <c r="K17" s="74">
        <v>0.61419000000000001</v>
      </c>
      <c r="L17" s="74">
        <v>0.25228</v>
      </c>
      <c r="M17" s="75">
        <f t="shared" si="13"/>
        <v>0.39331515730000005</v>
      </c>
      <c r="N17" s="76">
        <v>254.56543909090908</v>
      </c>
      <c r="O17" s="77">
        <v>101.41914</v>
      </c>
      <c r="T17" s="68">
        <f t="shared" si="0"/>
        <v>-0.15</v>
      </c>
      <c r="U17" s="69">
        <f t="shared" si="1"/>
        <v>0</v>
      </c>
      <c r="V17" s="70">
        <f t="shared" si="14"/>
        <v>0.02</v>
      </c>
      <c r="W17" s="71">
        <f t="shared" si="2"/>
        <v>0.17899066616195253</v>
      </c>
      <c r="X17" s="63">
        <f t="shared" si="3"/>
        <v>8.4500484808981216E-2</v>
      </c>
      <c r="Y17" s="73">
        <f t="shared" si="4"/>
        <v>-0.13054215611456471</v>
      </c>
      <c r="Z17" s="74">
        <f t="shared" si="5"/>
        <v>1.9710167223674063E-2</v>
      </c>
      <c r="AA17" s="74">
        <f t="shared" si="6"/>
        <v>3.9331267244119041E-2</v>
      </c>
      <c r="AB17" s="73">
        <f t="shared" si="7"/>
        <v>0.11902819584258588</v>
      </c>
      <c r="AC17" s="74">
        <f t="shared" si="8"/>
        <v>0.12432769443471679</v>
      </c>
      <c r="AD17" s="74">
        <f t="shared" si="9"/>
        <v>5.1067895524170619E-2</v>
      </c>
      <c r="AE17" s="75">
        <f t="shared" si="10"/>
        <v>1.6116508481130446E-2</v>
      </c>
      <c r="AF17" s="76">
        <f t="shared" si="11"/>
        <v>13.973068666651214</v>
      </c>
      <c r="AG17" s="77">
        <f t="shared" si="12"/>
        <v>5.566885325806668</v>
      </c>
    </row>
    <row r="18" spans="1:33" x14ac:dyDescent="0.2">
      <c r="A18" s="2"/>
      <c r="B18" s="68">
        <v>-30</v>
      </c>
      <c r="C18" s="69">
        <v>60</v>
      </c>
      <c r="D18" s="70">
        <v>4</v>
      </c>
      <c r="E18" s="71">
        <v>1.2175800000000001</v>
      </c>
      <c r="F18" s="72">
        <v>0.60616000000000003</v>
      </c>
      <c r="G18" s="73">
        <v>0.80984</v>
      </c>
      <c r="H18" s="74">
        <v>1.626E-2</v>
      </c>
      <c r="I18" s="74">
        <v>9.9760000000000001E-2</v>
      </c>
      <c r="J18" s="73">
        <v>0.94555999999999996</v>
      </c>
      <c r="K18" s="74">
        <v>0.74950000000000006</v>
      </c>
      <c r="L18" s="74">
        <v>0.22663</v>
      </c>
      <c r="M18" s="75">
        <f t="shared" si="13"/>
        <v>0.75359756025000002</v>
      </c>
      <c r="N18" s="76">
        <v>204.08663818181819</v>
      </c>
      <c r="O18" s="77">
        <v>168.89478</v>
      </c>
      <c r="T18" s="68">
        <f t="shared" si="0"/>
        <v>-0.15</v>
      </c>
      <c r="U18" s="69">
        <f t="shared" si="1"/>
        <v>0.3</v>
      </c>
      <c r="V18" s="70">
        <f t="shared" si="14"/>
        <v>0.02</v>
      </c>
      <c r="W18" s="71">
        <f t="shared" si="2"/>
        <v>0.24646919388108318</v>
      </c>
      <c r="X18" s="63">
        <f t="shared" si="3"/>
        <v>0.12270221797578588</v>
      </c>
      <c r="Y18" s="73">
        <f t="shared" si="4"/>
        <v>0.16393223605237964</v>
      </c>
      <c r="Z18" s="74">
        <f t="shared" si="5"/>
        <v>3.29143801023868E-3</v>
      </c>
      <c r="AA18" s="74">
        <f t="shared" si="6"/>
        <v>2.0193964077577536E-2</v>
      </c>
      <c r="AB18" s="73">
        <f t="shared" si="7"/>
        <v>0.19140541973931649</v>
      </c>
      <c r="AC18" s="74">
        <f t="shared" si="8"/>
        <v>0.15171788368228112</v>
      </c>
      <c r="AD18" s="74">
        <f t="shared" si="9"/>
        <v>4.5875682426838378E-2</v>
      </c>
      <c r="AE18" s="75">
        <f t="shared" si="10"/>
        <v>3.0879464586371121E-2</v>
      </c>
      <c r="AF18" s="76">
        <f t="shared" si="11"/>
        <v>11.202292893506872</v>
      </c>
      <c r="AG18" s="77">
        <f t="shared" si="12"/>
        <v>9.2706157081133345</v>
      </c>
    </row>
    <row r="19" spans="1:33" x14ac:dyDescent="0.2">
      <c r="A19" s="2"/>
      <c r="B19" s="68">
        <v>-30</v>
      </c>
      <c r="C19" s="69">
        <v>120</v>
      </c>
      <c r="D19" s="70">
        <v>4</v>
      </c>
      <c r="E19" s="71">
        <v>0.90513999999999994</v>
      </c>
      <c r="F19" s="72">
        <v>0.43841999999999998</v>
      </c>
      <c r="G19" s="73">
        <v>-0.67427000000000004</v>
      </c>
      <c r="H19" s="74">
        <v>0.13099</v>
      </c>
      <c r="I19" s="74">
        <v>0.21059</v>
      </c>
      <c r="J19" s="73">
        <v>0.60475000000000001</v>
      </c>
      <c r="K19" s="74">
        <v>0.61653000000000002</v>
      </c>
      <c r="L19" s="74">
        <v>0.25112000000000001</v>
      </c>
      <c r="M19" s="75">
        <f t="shared" si="13"/>
        <v>0.40444652889999999</v>
      </c>
      <c r="N19" s="76">
        <v>56.184134615384608</v>
      </c>
      <c r="O19" s="77">
        <v>66.338350000000005</v>
      </c>
      <c r="T19" s="68">
        <f t="shared" si="0"/>
        <v>-0.15</v>
      </c>
      <c r="U19" s="69">
        <f t="shared" si="1"/>
        <v>0.6</v>
      </c>
      <c r="V19" s="70">
        <f t="shared" si="14"/>
        <v>0.02</v>
      </c>
      <c r="W19" s="71">
        <f t="shared" si="2"/>
        <v>0.18322338256995319</v>
      </c>
      <c r="X19" s="63">
        <f t="shared" si="3"/>
        <v>8.8747370999313777E-2</v>
      </c>
      <c r="Y19" s="73">
        <f t="shared" si="4"/>
        <v>-0.1364894161847254</v>
      </c>
      <c r="Z19" s="74">
        <f t="shared" si="5"/>
        <v>2.6515711252224152E-2</v>
      </c>
      <c r="AA19" s="74">
        <f t="shared" si="6"/>
        <v>4.2628778018214249E-2</v>
      </c>
      <c r="AB19" s="73">
        <f t="shared" si="7"/>
        <v>0.12241679807452902</v>
      </c>
      <c r="AC19" s="74">
        <f t="shared" si="8"/>
        <v>0.12480137001552605</v>
      </c>
      <c r="AD19" s="74">
        <f t="shared" si="9"/>
        <v>5.0833081988384834E-2</v>
      </c>
      <c r="AE19" s="75">
        <f t="shared" si="10"/>
        <v>1.6572628316505054E-2</v>
      </c>
      <c r="AF19" s="76">
        <f t="shared" si="11"/>
        <v>3.0839409063568377</v>
      </c>
      <c r="AG19" s="77">
        <f t="shared" si="12"/>
        <v>3.641304660572223</v>
      </c>
    </row>
    <row r="20" spans="1:33" x14ac:dyDescent="0.2">
      <c r="A20" s="2"/>
      <c r="B20" s="68">
        <v>-30</v>
      </c>
      <c r="C20" s="69">
        <v>180</v>
      </c>
      <c r="D20" s="70">
        <v>4</v>
      </c>
      <c r="E20" s="71">
        <v>1.2456100000000001</v>
      </c>
      <c r="F20" s="72">
        <v>0.60111000000000003</v>
      </c>
      <c r="G20" s="73">
        <v>0.79064000000000001</v>
      </c>
      <c r="H20" s="74">
        <v>8.5790000000000005E-2</v>
      </c>
      <c r="I20" s="74">
        <v>9.3780000000000002E-2</v>
      </c>
      <c r="J20" s="73">
        <v>0.96726000000000001</v>
      </c>
      <c r="K20" s="74">
        <v>0.74646999999999997</v>
      </c>
      <c r="L20" s="74">
        <v>0.22220999999999999</v>
      </c>
      <c r="M20" s="75">
        <f t="shared" si="13"/>
        <v>0.77109332629999994</v>
      </c>
      <c r="N20" s="76">
        <v>11.171219999999998</v>
      </c>
      <c r="O20" s="77">
        <v>28.652329999999999</v>
      </c>
      <c r="T20" s="68">
        <f t="shared" si="0"/>
        <v>-0.15</v>
      </c>
      <c r="U20" s="69">
        <f t="shared" si="1"/>
        <v>0.9</v>
      </c>
      <c r="V20" s="70">
        <f t="shared" si="14"/>
        <v>0.02</v>
      </c>
      <c r="W20" s="71">
        <f t="shared" si="2"/>
        <v>0.25214317957770005</v>
      </c>
      <c r="X20" s="63">
        <f t="shared" si="3"/>
        <v>0.12167996939327018</v>
      </c>
      <c r="Y20" s="73">
        <f t="shared" si="4"/>
        <v>0.1600456671842011</v>
      </c>
      <c r="Z20" s="74">
        <f t="shared" si="5"/>
        <v>1.7366080375053897E-2</v>
      </c>
      <c r="AA20" s="74">
        <f t="shared" si="6"/>
        <v>1.8983459815509435E-2</v>
      </c>
      <c r="AB20" s="73">
        <f t="shared" si="7"/>
        <v>0.19579805226220576</v>
      </c>
      <c r="AC20" s="74">
        <f t="shared" si="8"/>
        <v>0.15110453453277167</v>
      </c>
      <c r="AD20" s="74">
        <f t="shared" si="9"/>
        <v>4.4980961885309784E-2</v>
      </c>
      <c r="AE20" s="75">
        <f t="shared" si="10"/>
        <v>3.1596372279083372E-2</v>
      </c>
      <c r="AF20" s="76">
        <f t="shared" si="11"/>
        <v>0.61318702455333329</v>
      </c>
      <c r="AG20" s="77">
        <f t="shared" si="12"/>
        <v>1.5727232101077779</v>
      </c>
    </row>
    <row r="21" spans="1:33" x14ac:dyDescent="0.2">
      <c r="A21" s="2"/>
      <c r="B21" s="68">
        <v>-10</v>
      </c>
      <c r="C21" s="69">
        <v>0</v>
      </c>
      <c r="D21" s="70">
        <v>4</v>
      </c>
      <c r="E21" s="71">
        <v>0.85418000000000005</v>
      </c>
      <c r="F21" s="72">
        <v>0.36436000000000002</v>
      </c>
      <c r="G21" s="73">
        <v>-0.59899999999999998</v>
      </c>
      <c r="H21" s="74">
        <v>4.4819999999999999E-2</v>
      </c>
      <c r="I21" s="74">
        <v>5.8259999999999999E-2</v>
      </c>
      <c r="J21" s="73">
        <v>0.47399000000000002</v>
      </c>
      <c r="K21" s="74">
        <v>0.90773999999999999</v>
      </c>
      <c r="L21" s="74">
        <v>0.28266000000000002</v>
      </c>
      <c r="M21" s="75">
        <f t="shared" si="13"/>
        <v>0.56427755164999993</v>
      </c>
      <c r="N21" s="76">
        <v>228.39561818181818</v>
      </c>
      <c r="O21" s="77">
        <v>108.60253</v>
      </c>
      <c r="T21" s="68">
        <f t="shared" si="0"/>
        <v>-0.05</v>
      </c>
      <c r="U21" s="69">
        <f t="shared" si="1"/>
        <v>0</v>
      </c>
      <c r="V21" s="70">
        <f t="shared" si="14"/>
        <v>0.02</v>
      </c>
      <c r="W21" s="71">
        <f t="shared" si="2"/>
        <v>0.1729077810323294</v>
      </c>
      <c r="X21" s="63">
        <f t="shared" si="3"/>
        <v>7.3755741292162696E-2</v>
      </c>
      <c r="Y21" s="73">
        <f t="shared" si="4"/>
        <v>-0.1212528516686943</v>
      </c>
      <c r="Z21" s="74">
        <f t="shared" si="5"/>
        <v>9.0727092016542211E-3</v>
      </c>
      <c r="AA21" s="74">
        <f t="shared" si="6"/>
        <v>1.1793307409379183E-2</v>
      </c>
      <c r="AB21" s="73">
        <f t="shared" si="7"/>
        <v>9.5947644678538252E-2</v>
      </c>
      <c r="AC21" s="74">
        <f t="shared" si="8"/>
        <v>0.18374968877085238</v>
      </c>
      <c r="AD21" s="74">
        <f t="shared" si="9"/>
        <v>5.7217581056215584E-2</v>
      </c>
      <c r="AE21" s="75">
        <f t="shared" si="10"/>
        <v>2.3121875112334368E-2</v>
      </c>
      <c r="AF21" s="76">
        <f t="shared" si="11"/>
        <v>12.536610104709093</v>
      </c>
      <c r="AG21" s="77">
        <f t="shared" si="12"/>
        <v>5.9611808047522237</v>
      </c>
    </row>
    <row r="22" spans="1:33" x14ac:dyDescent="0.2">
      <c r="A22" s="2"/>
      <c r="B22" s="68">
        <v>30</v>
      </c>
      <c r="C22" s="69">
        <v>-180</v>
      </c>
      <c r="D22" s="70">
        <v>4</v>
      </c>
      <c r="E22" s="71">
        <v>1.2575700000000001</v>
      </c>
      <c r="F22" s="72">
        <v>0.65561999999999998</v>
      </c>
      <c r="G22" s="73">
        <v>1.0551900000000001</v>
      </c>
      <c r="H22" s="74">
        <v>-3.7200000000000002E-3</v>
      </c>
      <c r="I22" s="74">
        <v>0.1087</v>
      </c>
      <c r="J22" s="73">
        <v>0.79362999999999995</v>
      </c>
      <c r="K22" s="74">
        <v>0.52307000000000003</v>
      </c>
      <c r="L22" s="74">
        <v>0.27594999999999997</v>
      </c>
      <c r="M22" s="75">
        <f t="shared" si="13"/>
        <v>0.48979960215000001</v>
      </c>
      <c r="N22" s="76">
        <v>31.344669230769235</v>
      </c>
      <c r="O22" s="77">
        <v>36.047379999999997</v>
      </c>
      <c r="T22" s="68">
        <f t="shared" si="0"/>
        <v>0.15</v>
      </c>
      <c r="U22" s="69">
        <f t="shared" si="1"/>
        <v>-0.9</v>
      </c>
      <c r="V22" s="70">
        <f t="shared" si="14"/>
        <v>0.02</v>
      </c>
      <c r="W22" s="71">
        <f t="shared" si="2"/>
        <v>0.25456418810183623</v>
      </c>
      <c r="X22" s="63">
        <f t="shared" si="3"/>
        <v>0.13271418132058324</v>
      </c>
      <c r="Y22" s="73">
        <f t="shared" si="4"/>
        <v>0.21359732312569207</v>
      </c>
      <c r="Z22" s="74">
        <f t="shared" si="5"/>
        <v>-7.530227182095874E-4</v>
      </c>
      <c r="AA22" s="74">
        <f t="shared" si="6"/>
        <v>2.2003647706823157E-2</v>
      </c>
      <c r="AB22" s="73">
        <f t="shared" si="7"/>
        <v>0.16065091931523515</v>
      </c>
      <c r="AC22" s="74">
        <f t="shared" si="8"/>
        <v>0.10588268634781958</v>
      </c>
      <c r="AD22" s="74">
        <f t="shared" si="9"/>
        <v>5.5859306206971937E-2</v>
      </c>
      <c r="AE22" s="75">
        <f t="shared" si="10"/>
        <v>2.0070061617492595E-2</v>
      </c>
      <c r="AF22" s="76">
        <f t="shared" si="11"/>
        <v>1.720505411335898</v>
      </c>
      <c r="AG22" s="77">
        <f t="shared" si="12"/>
        <v>1.9786366829355557</v>
      </c>
    </row>
    <row r="23" spans="1:33" x14ac:dyDescent="0.2">
      <c r="A23" s="2"/>
      <c r="B23" s="68">
        <v>30</v>
      </c>
      <c r="C23" s="69">
        <v>-60</v>
      </c>
      <c r="D23" s="70">
        <v>4</v>
      </c>
      <c r="E23" s="71">
        <v>1.2470699999999999</v>
      </c>
      <c r="F23" s="72">
        <v>0.63978000000000002</v>
      </c>
      <c r="G23" s="73">
        <v>1.0612299999999999</v>
      </c>
      <c r="H23" s="74">
        <v>-1.291E-2</v>
      </c>
      <c r="I23" s="74">
        <v>9.1300000000000006E-2</v>
      </c>
      <c r="J23" s="73">
        <v>0.76553000000000004</v>
      </c>
      <c r="K23" s="74">
        <v>0.52195000000000003</v>
      </c>
      <c r="L23" s="74">
        <v>0.26090999999999998</v>
      </c>
      <c r="M23" s="75">
        <f t="shared" si="13"/>
        <v>0.46327100575000008</v>
      </c>
      <c r="N23" s="76">
        <v>228.64675727272726</v>
      </c>
      <c r="O23" s="77">
        <v>119.96850000000001</v>
      </c>
      <c r="T23" s="68">
        <f t="shared" si="0"/>
        <v>0.15</v>
      </c>
      <c r="U23" s="69">
        <f t="shared" si="1"/>
        <v>-0.3</v>
      </c>
      <c r="V23" s="70">
        <f t="shared" si="14"/>
        <v>0.02</v>
      </c>
      <c r="W23" s="71">
        <f t="shared" si="2"/>
        <v>0.25243872075205109</v>
      </c>
      <c r="X23" s="63">
        <f t="shared" si="3"/>
        <v>0.12950776200433597</v>
      </c>
      <c r="Y23" s="73">
        <f t="shared" si="4"/>
        <v>0.2148199729154732</v>
      </c>
      <c r="Z23" s="74">
        <f t="shared" si="5"/>
        <v>-2.6133127129262827E-3</v>
      </c>
      <c r="AA23" s="74">
        <f t="shared" si="6"/>
        <v>1.8481444670036377E-2</v>
      </c>
      <c r="AB23" s="73">
        <f t="shared" si="7"/>
        <v>0.1549627638362864</v>
      </c>
      <c r="AC23" s="74">
        <f t="shared" si="8"/>
        <v>0.10565596983050918</v>
      </c>
      <c r="AD23" s="74">
        <f t="shared" si="9"/>
        <v>5.2814827260232101E-2</v>
      </c>
      <c r="AE23" s="75">
        <f t="shared" si="10"/>
        <v>1.898302405756715E-2</v>
      </c>
      <c r="AF23" s="76">
        <f t="shared" si="11"/>
        <v>12.550395101504749</v>
      </c>
      <c r="AG23" s="77">
        <f t="shared" si="12"/>
        <v>6.5850576351666685</v>
      </c>
    </row>
    <row r="24" spans="1:33" x14ac:dyDescent="0.2">
      <c r="A24" s="2"/>
      <c r="B24" s="68">
        <v>30</v>
      </c>
      <c r="C24" s="69">
        <v>60</v>
      </c>
      <c r="D24" s="70">
        <v>4</v>
      </c>
      <c r="E24" s="71">
        <v>1.2296400000000001</v>
      </c>
      <c r="F24" s="72">
        <v>0.63853000000000004</v>
      </c>
      <c r="G24" s="73">
        <v>1.0212000000000001</v>
      </c>
      <c r="H24" s="74">
        <v>-2.5489999999999999E-2</v>
      </c>
      <c r="I24" s="74">
        <v>9.0050000000000005E-2</v>
      </c>
      <c r="J24" s="73">
        <v>0.78783999999999998</v>
      </c>
      <c r="K24" s="74">
        <v>0.55715000000000003</v>
      </c>
      <c r="L24" s="74">
        <v>0.25279000000000001</v>
      </c>
      <c r="M24" s="75">
        <f t="shared" si="13"/>
        <v>0.49750538610000006</v>
      </c>
      <c r="N24" s="76">
        <v>157.74928363636363</v>
      </c>
      <c r="O24" s="77">
        <v>106.08484</v>
      </c>
      <c r="T24" s="68">
        <f t="shared" si="0"/>
        <v>0.15</v>
      </c>
      <c r="U24" s="69">
        <f t="shared" si="1"/>
        <v>0.3</v>
      </c>
      <c r="V24" s="70">
        <f t="shared" si="14"/>
        <v>0.02</v>
      </c>
      <c r="W24" s="71">
        <f t="shared" si="2"/>
        <v>0.24891044495140779</v>
      </c>
      <c r="X24" s="63">
        <f t="shared" si="3"/>
        <v>0.12925473017698061</v>
      </c>
      <c r="Y24" s="73">
        <f t="shared" si="4"/>
        <v>0.2067168816762448</v>
      </c>
      <c r="Z24" s="74">
        <f t="shared" si="5"/>
        <v>-5.1598250234307476E-3</v>
      </c>
      <c r="AA24" s="74">
        <f t="shared" si="6"/>
        <v>1.8228412842681008E-2</v>
      </c>
      <c r="AB24" s="73">
        <f t="shared" si="7"/>
        <v>0.15947887589092508</v>
      </c>
      <c r="AC24" s="74">
        <f t="shared" si="8"/>
        <v>0.11278134608883646</v>
      </c>
      <c r="AD24" s="74">
        <f t="shared" si="9"/>
        <v>5.1171132509731612E-2</v>
      </c>
      <c r="AE24" s="75">
        <f t="shared" si="10"/>
        <v>2.0385814341685751E-2</v>
      </c>
      <c r="AF24" s="76">
        <f t="shared" si="11"/>
        <v>8.6588406511018192</v>
      </c>
      <c r="AG24" s="77">
        <f t="shared" si="12"/>
        <v>5.822985080395557</v>
      </c>
    </row>
    <row r="25" spans="1:33" x14ac:dyDescent="0.2">
      <c r="A25" s="2"/>
      <c r="B25" s="68">
        <v>30</v>
      </c>
      <c r="C25" s="69">
        <v>180</v>
      </c>
      <c r="D25" s="70">
        <v>4</v>
      </c>
      <c r="E25" s="71">
        <v>1.18607</v>
      </c>
      <c r="F25" s="72">
        <v>0.62324000000000002</v>
      </c>
      <c r="G25" s="73">
        <v>0.98090999999999995</v>
      </c>
      <c r="H25" s="74">
        <v>-9.4599999999999997E-3</v>
      </c>
      <c r="I25" s="74">
        <v>0.10445</v>
      </c>
      <c r="J25" s="73">
        <v>0.75468999999999997</v>
      </c>
      <c r="K25" s="74">
        <v>0.54932000000000003</v>
      </c>
      <c r="L25" s="74">
        <v>0.23243</v>
      </c>
      <c r="M25" s="75">
        <f t="shared" si="13"/>
        <v>0.46266658170000002</v>
      </c>
      <c r="N25" s="76">
        <v>13.100033846153849</v>
      </c>
      <c r="O25" s="77">
        <v>26.467580000000002</v>
      </c>
      <c r="T25" s="68">
        <f t="shared" si="0"/>
        <v>0.15</v>
      </c>
      <c r="U25" s="69">
        <f t="shared" si="1"/>
        <v>0.9</v>
      </c>
      <c r="V25" s="70">
        <f t="shared" si="14"/>
        <v>0.02</v>
      </c>
      <c r="W25" s="71">
        <f t="shared" si="2"/>
        <v>0.24009076757710893</v>
      </c>
      <c r="X25" s="63">
        <f t="shared" si="3"/>
        <v>0.12615964486476969</v>
      </c>
      <c r="Y25" s="73">
        <f t="shared" si="4"/>
        <v>0.1985611598169264</v>
      </c>
      <c r="Z25" s="74">
        <f t="shared" si="5"/>
        <v>-1.9149448694254559E-3</v>
      </c>
      <c r="AA25" s="74">
        <f t="shared" si="6"/>
        <v>2.1143339493814892E-2</v>
      </c>
      <c r="AB25" s="73">
        <f t="shared" si="7"/>
        <v>0.1527684718294606</v>
      </c>
      <c r="AC25" s="74">
        <f t="shared" si="8"/>
        <v>0.1111963547222824</v>
      </c>
      <c r="AD25" s="74">
        <f t="shared" si="9"/>
        <v>4.7049750105767306E-2</v>
      </c>
      <c r="AE25" s="75">
        <f t="shared" si="10"/>
        <v>1.8958257136823753E-2</v>
      </c>
      <c r="AF25" s="76">
        <f t="shared" si="11"/>
        <v>0.71905940225606868</v>
      </c>
      <c r="AG25" s="77">
        <f t="shared" si="12"/>
        <v>1.4528025253577781</v>
      </c>
    </row>
    <row r="26" spans="1:33" x14ac:dyDescent="0.2">
      <c r="A26" s="2"/>
      <c r="B26" s="89">
        <v>70</v>
      </c>
      <c r="C26" s="90">
        <v>0</v>
      </c>
      <c r="D26" s="91">
        <v>4</v>
      </c>
      <c r="E26" s="92">
        <v>0.60446</v>
      </c>
      <c r="F26" s="93">
        <v>0.25075999999999998</v>
      </c>
      <c r="G26" s="93">
        <v>-0.34966000000000003</v>
      </c>
      <c r="H26" s="94">
        <v>-2.6210000000000001E-2</v>
      </c>
      <c r="I26" s="94">
        <v>0.22842000000000001</v>
      </c>
      <c r="J26" s="93">
        <v>0.39130999999999999</v>
      </c>
      <c r="K26" s="94">
        <v>0.65761000000000003</v>
      </c>
      <c r="L26" s="94">
        <v>0.22867999999999999</v>
      </c>
      <c r="M26" s="95">
        <f t="shared" si="13"/>
        <v>0.31893448530000001</v>
      </c>
      <c r="N26" s="96">
        <v>146.28292545454545</v>
      </c>
      <c r="O26" s="97">
        <v>46.199660000000002</v>
      </c>
      <c r="T26" s="68">
        <f t="shared" si="0"/>
        <v>0.35</v>
      </c>
      <c r="U26" s="69">
        <f t="shared" si="1"/>
        <v>0</v>
      </c>
      <c r="V26" s="70">
        <f t="shared" si="14"/>
        <v>0.02</v>
      </c>
      <c r="W26" s="71">
        <f t="shared" si="2"/>
        <v>0.12235809469058256</v>
      </c>
      <c r="X26" s="63">
        <f t="shared" si="3"/>
        <v>5.0760208822106481E-2</v>
      </c>
      <c r="Y26" s="73">
        <f t="shared" si="4"/>
        <v>-7.0780087002463535E-2</v>
      </c>
      <c r="Z26" s="74">
        <f t="shared" si="5"/>
        <v>-5.305571355987442E-3</v>
      </c>
      <c r="AA26" s="74">
        <f t="shared" si="6"/>
        <v>4.6238024003611274E-2</v>
      </c>
      <c r="AB26" s="73">
        <f t="shared" si="7"/>
        <v>7.9211107489944518E-2</v>
      </c>
      <c r="AC26" s="74">
        <f t="shared" si="8"/>
        <v>0.133117007989733</v>
      </c>
      <c r="AD26" s="74">
        <f t="shared" si="9"/>
        <v>4.6290654623701188E-2</v>
      </c>
      <c r="AE26" s="75">
        <f t="shared" si="10"/>
        <v>1.3068681035706487E-2</v>
      </c>
      <c r="AF26" s="76">
        <f t="shared" si="11"/>
        <v>8.0294535245416174</v>
      </c>
      <c r="AG26" s="77">
        <f t="shared" si="12"/>
        <v>2.5358942041044452</v>
      </c>
    </row>
    <row r="27" spans="1:33" x14ac:dyDescent="0.2">
      <c r="A27" s="2"/>
      <c r="B27" s="89">
        <v>90</v>
      </c>
      <c r="C27" s="90">
        <v>-180</v>
      </c>
      <c r="D27" s="91">
        <v>4</v>
      </c>
      <c r="E27" s="92">
        <v>1.18319</v>
      </c>
      <c r="F27" s="93">
        <v>0.5978</v>
      </c>
      <c r="G27" s="93">
        <v>0.77998999999999996</v>
      </c>
      <c r="H27" s="94">
        <v>-1.205E-2</v>
      </c>
      <c r="I27" s="94">
        <v>8.269E-2</v>
      </c>
      <c r="J27" s="93">
        <v>0.92505999999999999</v>
      </c>
      <c r="K27" s="94">
        <v>0.72572000000000003</v>
      </c>
      <c r="L27" s="94">
        <v>0.25140000000000001</v>
      </c>
      <c r="M27" s="95">
        <f t="shared" si="13"/>
        <v>0.722803741</v>
      </c>
      <c r="N27" s="96">
        <v>31.486684615384615</v>
      </c>
      <c r="O27" s="97">
        <v>33.412820000000004</v>
      </c>
      <c r="T27" s="68">
        <f t="shared" si="0"/>
        <v>0.45</v>
      </c>
      <c r="U27" s="69">
        <f t="shared" si="1"/>
        <v>-0.9</v>
      </c>
      <c r="V27" s="70">
        <f t="shared" si="14"/>
        <v>0.02</v>
      </c>
      <c r="W27" s="71">
        <f t="shared" si="2"/>
        <v>0.23950778224688216</v>
      </c>
      <c r="X27" s="63">
        <f t="shared" si="3"/>
        <v>0.12100994111443314</v>
      </c>
      <c r="Y27" s="73">
        <f t="shared" si="4"/>
        <v>0.15788983601513334</v>
      </c>
      <c r="Z27" s="74">
        <f t="shared" si="5"/>
        <v>-2.4392268157057868E-3</v>
      </c>
      <c r="AA27" s="74">
        <f t="shared" si="6"/>
        <v>1.6738561443212573E-2</v>
      </c>
      <c r="AB27" s="73">
        <f t="shared" si="7"/>
        <v>0.1872556977706884</v>
      </c>
      <c r="AC27" s="74">
        <f t="shared" si="8"/>
        <v>0.1469042061986725</v>
      </c>
      <c r="AD27" s="74">
        <f t="shared" si="9"/>
        <v>5.0889761117712436E-2</v>
      </c>
      <c r="AE27" s="75">
        <f t="shared" si="10"/>
        <v>2.9617654966533662E-2</v>
      </c>
      <c r="AF27" s="76">
        <f t="shared" si="11"/>
        <v>1.7283006200179489</v>
      </c>
      <c r="AG27" s="77">
        <f t="shared" si="12"/>
        <v>1.8340259772644449</v>
      </c>
    </row>
    <row r="28" spans="1:33" x14ac:dyDescent="0.2">
      <c r="A28" s="2"/>
      <c r="B28" s="89">
        <v>90</v>
      </c>
      <c r="C28" s="90">
        <v>-120</v>
      </c>
      <c r="D28" s="91">
        <v>4</v>
      </c>
      <c r="E28" s="92">
        <v>0.87710999999999995</v>
      </c>
      <c r="F28" s="93">
        <v>0.41617999999999999</v>
      </c>
      <c r="G28" s="93">
        <v>-0.61465999999999998</v>
      </c>
      <c r="H28" s="94">
        <v>-1.8600000000000001E-3</v>
      </c>
      <c r="I28" s="94">
        <v>0.20258999999999999</v>
      </c>
      <c r="J28" s="93">
        <v>0.58391999999999999</v>
      </c>
      <c r="K28" s="94">
        <v>0.65756999999999999</v>
      </c>
      <c r="L28" s="94">
        <v>0.26984000000000002</v>
      </c>
      <c r="M28" s="95">
        <f t="shared" si="13"/>
        <v>0.42308724845000001</v>
      </c>
      <c r="N28" s="96">
        <v>89.52353153846154</v>
      </c>
      <c r="O28" s="97">
        <v>60.522219999999997</v>
      </c>
      <c r="T28" s="68">
        <f t="shared" si="0"/>
        <v>0.45</v>
      </c>
      <c r="U28" s="69">
        <f t="shared" si="1"/>
        <v>-0.6</v>
      </c>
      <c r="V28" s="70">
        <f t="shared" si="14"/>
        <v>0.02</v>
      </c>
      <c r="W28" s="71">
        <f t="shared" si="2"/>
        <v>0.17754939687333632</v>
      </c>
      <c r="X28" s="63">
        <f t="shared" si="3"/>
        <v>8.4245428727007007E-2</v>
      </c>
      <c r="Y28" s="73">
        <f t="shared" si="4"/>
        <v>-0.12442283440180241</v>
      </c>
      <c r="Z28" s="74">
        <f t="shared" si="5"/>
        <v>-3.765113591047937E-4</v>
      </c>
      <c r="AA28" s="74">
        <f t="shared" si="6"/>
        <v>4.1009374323139863E-2</v>
      </c>
      <c r="AB28" s="73">
        <f t="shared" si="7"/>
        <v>0.11820027570347909</v>
      </c>
      <c r="AC28" s="74">
        <f t="shared" si="8"/>
        <v>0.13310891097125763</v>
      </c>
      <c r="AD28" s="74">
        <f t="shared" si="9"/>
        <v>5.4622486634858886E-2</v>
      </c>
      <c r="AE28" s="75">
        <f t="shared" si="10"/>
        <v>1.7336451701253999E-2</v>
      </c>
      <c r="AF28" s="76">
        <f t="shared" si="11"/>
        <v>4.9139366990870954</v>
      </c>
      <c r="AG28" s="77">
        <f t="shared" si="12"/>
        <v>3.3220579311088891</v>
      </c>
    </row>
    <row r="29" spans="1:33" x14ac:dyDescent="0.2">
      <c r="A29" s="2"/>
      <c r="B29" s="89">
        <v>90</v>
      </c>
      <c r="C29" s="90">
        <v>-60</v>
      </c>
      <c r="D29" s="91">
        <v>4</v>
      </c>
      <c r="E29" s="92">
        <v>1.1877200000000001</v>
      </c>
      <c r="F29" s="93">
        <v>0.60575000000000001</v>
      </c>
      <c r="G29" s="93">
        <v>0.78291999999999995</v>
      </c>
      <c r="H29" s="94">
        <v>4.181E-2</v>
      </c>
      <c r="I29" s="94">
        <v>8.0149999999999999E-2</v>
      </c>
      <c r="J29" s="93">
        <v>0.93033999999999994</v>
      </c>
      <c r="K29" s="94">
        <v>0.76300999999999997</v>
      </c>
      <c r="L29" s="94">
        <v>0.24032999999999999</v>
      </c>
      <c r="M29" s="95">
        <f t="shared" si="13"/>
        <v>0.75273764229999984</v>
      </c>
      <c r="N29" s="96">
        <v>157.46404272727273</v>
      </c>
      <c r="O29" s="97">
        <v>82.351619999999997</v>
      </c>
      <c r="T29" s="68">
        <f t="shared" si="0"/>
        <v>0.45</v>
      </c>
      <c r="U29" s="69">
        <f t="shared" si="1"/>
        <v>-0.3</v>
      </c>
      <c r="V29" s="70">
        <f t="shared" si="14"/>
        <v>0.02</v>
      </c>
      <c r="W29" s="71">
        <f t="shared" si="2"/>
        <v>0.24042476958921805</v>
      </c>
      <c r="X29" s="63">
        <f t="shared" si="3"/>
        <v>0.12261922353641332</v>
      </c>
      <c r="Y29" s="73">
        <f t="shared" si="4"/>
        <v>0.15848294261845433</v>
      </c>
      <c r="Z29" s="74">
        <f t="shared" si="5"/>
        <v>8.463408561382486E-3</v>
      </c>
      <c r="AA29" s="74">
        <f t="shared" si="6"/>
        <v>1.6224400770026459E-2</v>
      </c>
      <c r="AB29" s="73">
        <f t="shared" si="7"/>
        <v>0.18832450420943747</v>
      </c>
      <c r="AC29" s="74">
        <f t="shared" si="8"/>
        <v>0.15445265167233796</v>
      </c>
      <c r="AD29" s="74">
        <f t="shared" si="9"/>
        <v>4.8648911254653253E-2</v>
      </c>
      <c r="AE29" s="75">
        <f t="shared" si="10"/>
        <v>3.0844228530305062E-2</v>
      </c>
      <c r="AF29" s="76">
        <f t="shared" si="11"/>
        <v>8.6431838092952535</v>
      </c>
      <c r="AG29" s="77">
        <f t="shared" si="12"/>
        <v>4.5202712716200004</v>
      </c>
    </row>
    <row r="30" spans="1:33" x14ac:dyDescent="0.2">
      <c r="A30" s="2"/>
      <c r="B30" s="89">
        <v>90</v>
      </c>
      <c r="C30" s="90">
        <v>0</v>
      </c>
      <c r="D30" s="91">
        <v>4</v>
      </c>
      <c r="E30" s="92">
        <v>0.86741999999999997</v>
      </c>
      <c r="F30" s="93">
        <v>0.42392000000000002</v>
      </c>
      <c r="G30" s="93">
        <v>-0.63336999999999999</v>
      </c>
      <c r="H30" s="94">
        <v>6.1269999999999998E-2</v>
      </c>
      <c r="I30" s="94">
        <v>0.20680000000000001</v>
      </c>
      <c r="J30" s="93">
        <v>0.58052000000000004</v>
      </c>
      <c r="K30" s="94">
        <v>0.63119999999999998</v>
      </c>
      <c r="L30" s="94">
        <v>0.24815999999999999</v>
      </c>
      <c r="M30" s="95">
        <f t="shared" si="13"/>
        <v>0.398500148</v>
      </c>
      <c r="N30" s="96">
        <v>136.62867454545454</v>
      </c>
      <c r="O30" s="97">
        <v>49.303690000000003</v>
      </c>
      <c r="T30" s="68">
        <f t="shared" si="0"/>
        <v>0.45</v>
      </c>
      <c r="U30" s="69">
        <f t="shared" si="1"/>
        <v>0</v>
      </c>
      <c r="V30" s="70">
        <f t="shared" si="14"/>
        <v>0.02</v>
      </c>
      <c r="W30" s="71">
        <f t="shared" si="2"/>
        <v>0.17558789414767748</v>
      </c>
      <c r="X30" s="63">
        <f t="shared" si="3"/>
        <v>8.5812201801991478E-2</v>
      </c>
      <c r="Y30" s="73">
        <f t="shared" si="4"/>
        <v>-0.1282102147936576</v>
      </c>
      <c r="Z30" s="74">
        <f t="shared" si="5"/>
        <v>1.2402608049650918E-2</v>
      </c>
      <c r="AA30" s="74">
        <f t="shared" si="6"/>
        <v>4.1861585517672759E-2</v>
      </c>
      <c r="AB30" s="73">
        <f t="shared" si="7"/>
        <v>0.11751202913307249</v>
      </c>
      <c r="AC30" s="74">
        <f t="shared" si="8"/>
        <v>0.12777095154136869</v>
      </c>
      <c r="AD30" s="74">
        <f t="shared" si="9"/>
        <v>5.0233902621207305E-2</v>
      </c>
      <c r="AE30" s="75">
        <f t="shared" si="10"/>
        <v>1.63289690106579E-2</v>
      </c>
      <c r="AF30" s="76">
        <f t="shared" si="11"/>
        <v>7.4995327648361627</v>
      </c>
      <c r="AG30" s="77">
        <f t="shared" si="12"/>
        <v>2.7062740659122229</v>
      </c>
    </row>
    <row r="31" spans="1:33" x14ac:dyDescent="0.2">
      <c r="A31" s="2"/>
      <c r="B31" s="89">
        <v>90</v>
      </c>
      <c r="C31" s="90">
        <v>60</v>
      </c>
      <c r="D31" s="91">
        <v>4</v>
      </c>
      <c r="E31" s="92">
        <v>1.1919200000000001</v>
      </c>
      <c r="F31" s="93">
        <v>0.60907999999999995</v>
      </c>
      <c r="G31" s="93">
        <v>0.76215999999999995</v>
      </c>
      <c r="H31" s="94">
        <v>3.31E-3</v>
      </c>
      <c r="I31" s="94">
        <v>7.51E-2</v>
      </c>
      <c r="J31" s="93">
        <v>0.95304999999999995</v>
      </c>
      <c r="K31" s="94">
        <v>0.72689000000000004</v>
      </c>
      <c r="L31" s="94">
        <v>0.22647</v>
      </c>
      <c r="M31" s="95">
        <f t="shared" si="13"/>
        <v>0.74398101775000003</v>
      </c>
      <c r="N31" s="96">
        <v>118.55258727272727</v>
      </c>
      <c r="O31" s="97">
        <v>71.618679999999998</v>
      </c>
      <c r="T31" s="68">
        <f t="shared" si="0"/>
        <v>0.45</v>
      </c>
      <c r="U31" s="69">
        <f t="shared" si="1"/>
        <v>0.3</v>
      </c>
      <c r="V31" s="70">
        <f t="shared" si="14"/>
        <v>0.02</v>
      </c>
      <c r="W31" s="71">
        <f t="shared" si="2"/>
        <v>0.24127495652913208</v>
      </c>
      <c r="X31" s="63">
        <f t="shared" si="3"/>
        <v>0.12329330032448801</v>
      </c>
      <c r="Y31" s="73">
        <f t="shared" si="4"/>
        <v>0.15428059002973629</v>
      </c>
      <c r="Z31" s="74">
        <f t="shared" si="5"/>
        <v>6.7002827883702533E-4</v>
      </c>
      <c r="AA31" s="74">
        <f t="shared" si="6"/>
        <v>1.5202152187510755E-2</v>
      </c>
      <c r="AB31" s="73">
        <f t="shared" si="7"/>
        <v>0.1929215864488299</v>
      </c>
      <c r="AC31" s="74">
        <f t="shared" si="8"/>
        <v>0.14714104398907715</v>
      </c>
      <c r="AD31" s="74">
        <f t="shared" si="9"/>
        <v>4.5843294352936895E-2</v>
      </c>
      <c r="AE31" s="75">
        <f t="shared" si="10"/>
        <v>3.0485416490629448E-2</v>
      </c>
      <c r="AF31" s="76">
        <f t="shared" si="11"/>
        <v>6.5073383428903036</v>
      </c>
      <c r="AG31" s="77">
        <f t="shared" si="12"/>
        <v>3.9311413875688896</v>
      </c>
    </row>
    <row r="32" spans="1:33" x14ac:dyDescent="0.2">
      <c r="A32" s="2"/>
      <c r="B32" s="89">
        <v>90</v>
      </c>
      <c r="C32" s="90">
        <v>120</v>
      </c>
      <c r="D32" s="91">
        <v>4</v>
      </c>
      <c r="E32" s="92">
        <v>0.88919000000000004</v>
      </c>
      <c r="F32" s="93">
        <v>0.43772</v>
      </c>
      <c r="G32" s="93">
        <v>-0.65651000000000004</v>
      </c>
      <c r="H32" s="94">
        <v>5.1279999999999999E-2</v>
      </c>
      <c r="I32" s="94">
        <v>0.20574999999999999</v>
      </c>
      <c r="J32" s="93">
        <v>0.59504999999999997</v>
      </c>
      <c r="K32" s="94">
        <v>0.64439999999999997</v>
      </c>
      <c r="L32" s="94">
        <v>0.24185000000000001</v>
      </c>
      <c r="M32" s="95">
        <f t="shared" si="13"/>
        <v>0.41391364250000001</v>
      </c>
      <c r="N32" s="96">
        <v>53.889397692307689</v>
      </c>
      <c r="O32" s="97">
        <v>42.458559999999999</v>
      </c>
      <c r="T32" s="68">
        <f t="shared" si="0"/>
        <v>0.45</v>
      </c>
      <c r="U32" s="69">
        <f t="shared" si="1"/>
        <v>0.6</v>
      </c>
      <c r="V32" s="70">
        <f t="shared" si="14"/>
        <v>0.02</v>
      </c>
      <c r="W32" s="71">
        <f t="shared" si="2"/>
        <v>0.17999469645289864</v>
      </c>
      <c r="X32" s="63">
        <f t="shared" si="3"/>
        <v>8.860567317599477E-2</v>
      </c>
      <c r="Y32" s="73">
        <f t="shared" si="4"/>
        <v>-0.13289433998166028</v>
      </c>
      <c r="Z32" s="74">
        <f t="shared" si="5"/>
        <v>1.0380377685426784E-2</v>
      </c>
      <c r="AA32" s="74">
        <f t="shared" si="6"/>
        <v>4.1649038782694242E-2</v>
      </c>
      <c r="AB32" s="73">
        <f t="shared" si="7"/>
        <v>0.12045327109425132</v>
      </c>
      <c r="AC32" s="74">
        <f t="shared" si="8"/>
        <v>0.13044296763824142</v>
      </c>
      <c r="AD32" s="74">
        <f t="shared" si="9"/>
        <v>4.895659795671739E-2</v>
      </c>
      <c r="AE32" s="75">
        <f t="shared" si="10"/>
        <v>1.6960553403536083E-2</v>
      </c>
      <c r="AF32" s="76">
        <f t="shared" si="11"/>
        <v>2.957983051619915</v>
      </c>
      <c r="AG32" s="77">
        <f t="shared" si="12"/>
        <v>2.3305456407822227</v>
      </c>
    </row>
    <row r="33" spans="1:33" x14ac:dyDescent="0.2">
      <c r="A33" s="2"/>
      <c r="B33" s="89">
        <v>90</v>
      </c>
      <c r="C33" s="90">
        <v>180</v>
      </c>
      <c r="D33" s="91">
        <v>4</v>
      </c>
      <c r="E33" s="92">
        <v>1.1675599999999999</v>
      </c>
      <c r="F33" s="93">
        <v>0.60824999999999996</v>
      </c>
      <c r="G33" s="93">
        <v>0.71145000000000003</v>
      </c>
      <c r="H33" s="94">
        <v>9.3590000000000007E-2</v>
      </c>
      <c r="I33" s="94">
        <v>7.8649999999999998E-2</v>
      </c>
      <c r="J33" s="93">
        <v>0.94664000000000004</v>
      </c>
      <c r="K33" s="94">
        <v>0.79647999999999997</v>
      </c>
      <c r="L33" s="94">
        <v>0.20960999999999999</v>
      </c>
      <c r="M33" s="95">
        <f t="shared" si="13"/>
        <v>0.78722201604999997</v>
      </c>
      <c r="N33" s="96">
        <v>14.717653846153848</v>
      </c>
      <c r="O33" s="97">
        <v>22.850989999999999</v>
      </c>
      <c r="T33" s="68">
        <f t="shared" si="0"/>
        <v>0.45</v>
      </c>
      <c r="U33" s="69">
        <f t="shared" si="1"/>
        <v>0.9</v>
      </c>
      <c r="V33" s="70">
        <f t="shared" si="14"/>
        <v>0.02</v>
      </c>
      <c r="W33" s="71">
        <f t="shared" si="2"/>
        <v>0.23634387227763057</v>
      </c>
      <c r="X33" s="63">
        <f t="shared" si="3"/>
        <v>0.12312528719112405</v>
      </c>
      <c r="Y33" s="73">
        <f t="shared" si="4"/>
        <v>0.14401559485758358</v>
      </c>
      <c r="Z33" s="74">
        <f t="shared" si="5"/>
        <v>1.8944998977751419E-2</v>
      </c>
      <c r="AA33" s="74">
        <f t="shared" si="6"/>
        <v>1.5920762577200012E-2</v>
      </c>
      <c r="AB33" s="73">
        <f t="shared" si="7"/>
        <v>0.19162403923815155</v>
      </c>
      <c r="AC33" s="74">
        <f t="shared" si="8"/>
        <v>0.16122783188160539</v>
      </c>
      <c r="AD33" s="74">
        <f t="shared" si="9"/>
        <v>4.2430401065567634E-2</v>
      </c>
      <c r="AE33" s="75">
        <f t="shared" si="10"/>
        <v>3.2257262560886395E-2</v>
      </c>
      <c r="AF33" s="76">
        <f t="shared" si="11"/>
        <v>0.80785038432051304</v>
      </c>
      <c r="AG33" s="77">
        <f t="shared" si="12"/>
        <v>1.2542883021011113</v>
      </c>
    </row>
    <row r="34" spans="1:33" x14ac:dyDescent="0.2">
      <c r="A34" s="2"/>
      <c r="B34" s="89">
        <v>110</v>
      </c>
      <c r="C34" s="90">
        <v>0</v>
      </c>
      <c r="D34" s="91">
        <v>4</v>
      </c>
      <c r="E34" s="92">
        <v>0.8337</v>
      </c>
      <c r="F34" s="93">
        <v>0.36506</v>
      </c>
      <c r="G34" s="93">
        <v>-0.56072</v>
      </c>
      <c r="H34" s="94">
        <v>0.11907</v>
      </c>
      <c r="I34" s="94">
        <v>5.6430000000000001E-2</v>
      </c>
      <c r="J34" s="93">
        <v>0.47364000000000001</v>
      </c>
      <c r="K34" s="94">
        <v>0.92984999999999995</v>
      </c>
      <c r="L34" s="94">
        <v>0.2863</v>
      </c>
      <c r="M34" s="95">
        <f t="shared" si="13"/>
        <v>0.58546178104999991</v>
      </c>
      <c r="N34" s="96">
        <v>131.93227999999999</v>
      </c>
      <c r="O34" s="97">
        <v>59.863390000000003</v>
      </c>
      <c r="T34" s="68">
        <f t="shared" si="0"/>
        <v>0.55000000000000004</v>
      </c>
      <c r="U34" s="69">
        <f t="shared" si="1"/>
        <v>0</v>
      </c>
      <c r="V34" s="70">
        <f t="shared" si="14"/>
        <v>0.02</v>
      </c>
      <c r="W34" s="71">
        <f t="shared" si="2"/>
        <v>0.16876210757293897</v>
      </c>
      <c r="X34" s="63">
        <f t="shared" si="3"/>
        <v>7.3897439115481703E-2</v>
      </c>
      <c r="Y34" s="73">
        <f t="shared" si="4"/>
        <v>-0.11350400498776339</v>
      </c>
      <c r="Z34" s="74">
        <f t="shared" si="5"/>
        <v>2.4102799746563323E-2</v>
      </c>
      <c r="AA34" s="74">
        <f t="shared" si="6"/>
        <v>1.1422868814130918E-2</v>
      </c>
      <c r="AB34" s="73">
        <f t="shared" si="7"/>
        <v>9.5876795766878756E-2</v>
      </c>
      <c r="AC34" s="74">
        <f t="shared" si="8"/>
        <v>0.18822531573311418</v>
      </c>
      <c r="AD34" s="74">
        <f t="shared" si="9"/>
        <v>5.795440973747442E-2</v>
      </c>
      <c r="AE34" s="75">
        <f t="shared" si="10"/>
        <v>2.3989921528686682E-2</v>
      </c>
      <c r="AF34" s="76">
        <f t="shared" si="11"/>
        <v>7.2417481900577787</v>
      </c>
      <c r="AG34" s="77">
        <f t="shared" si="12"/>
        <v>3.2858948256122229</v>
      </c>
    </row>
    <row r="35" spans="1:33" x14ac:dyDescent="0.2">
      <c r="A35" s="2"/>
      <c r="B35" s="89">
        <v>150</v>
      </c>
      <c r="C35" s="90">
        <v>-180</v>
      </c>
      <c r="D35" s="91">
        <v>4</v>
      </c>
      <c r="E35" s="92">
        <v>1.20252</v>
      </c>
      <c r="F35" s="93">
        <v>0.61075999999999997</v>
      </c>
      <c r="G35" s="93">
        <v>1.0214799999999999</v>
      </c>
      <c r="H35" s="94">
        <v>-8.899E-2</v>
      </c>
      <c r="I35" s="94">
        <v>6.5979999999999997E-2</v>
      </c>
      <c r="J35" s="93">
        <v>0.71531</v>
      </c>
      <c r="K35" s="94">
        <v>0.52129999999999999</v>
      </c>
      <c r="L35" s="94">
        <v>0.28403</v>
      </c>
      <c r="M35" s="95">
        <f t="shared" si="13"/>
        <v>0.43204756350000006</v>
      </c>
      <c r="N35" s="96">
        <v>29.996936923076923</v>
      </c>
      <c r="O35" s="97">
        <v>28.78687</v>
      </c>
      <c r="T35" s="68">
        <f t="shared" si="0"/>
        <v>0.75</v>
      </c>
      <c r="U35" s="69">
        <f t="shared" si="1"/>
        <v>-0.9</v>
      </c>
      <c r="V35" s="70">
        <f t="shared" si="14"/>
        <v>0.02</v>
      </c>
      <c r="W35" s="71">
        <f t="shared" si="2"/>
        <v>0.24342066642510565</v>
      </c>
      <c r="X35" s="63">
        <f t="shared" si="3"/>
        <v>0.12363337510045364</v>
      </c>
      <c r="Y35" s="73">
        <f t="shared" si="4"/>
        <v>0.20677356080557238</v>
      </c>
      <c r="Z35" s="74">
        <f t="shared" si="5"/>
        <v>-1.8013841853083648E-2</v>
      </c>
      <c r="AA35" s="74">
        <f t="shared" si="6"/>
        <v>1.335603197512596E-2</v>
      </c>
      <c r="AB35" s="73">
        <f t="shared" si="7"/>
        <v>0.14479695714045696</v>
      </c>
      <c r="AC35" s="74">
        <f t="shared" si="8"/>
        <v>0.10552439328028437</v>
      </c>
      <c r="AD35" s="74">
        <f t="shared" si="9"/>
        <v>5.7494903938997068E-2</v>
      </c>
      <c r="AE35" s="75">
        <f t="shared" si="10"/>
        <v>1.7703610176630982E-2</v>
      </c>
      <c r="AF35" s="76">
        <f t="shared" si="11"/>
        <v>1.6465285347147012</v>
      </c>
      <c r="AG35" s="77">
        <f t="shared" si="12"/>
        <v>1.5801080957588891</v>
      </c>
    </row>
    <row r="36" spans="1:33" x14ac:dyDescent="0.2">
      <c r="A36" s="2"/>
      <c r="B36" s="89">
        <v>150</v>
      </c>
      <c r="C36" s="90">
        <v>-60</v>
      </c>
      <c r="D36" s="91">
        <v>4</v>
      </c>
      <c r="E36" s="92">
        <v>1.25187</v>
      </c>
      <c r="F36" s="93">
        <v>0.66054000000000002</v>
      </c>
      <c r="G36" s="93">
        <v>1.04356</v>
      </c>
      <c r="H36" s="94">
        <v>-4.3450000000000003E-2</v>
      </c>
      <c r="I36" s="94">
        <v>9.4170000000000004E-2</v>
      </c>
      <c r="J36" s="93">
        <v>0.80037999999999998</v>
      </c>
      <c r="K36" s="94">
        <v>0.54637999999999998</v>
      </c>
      <c r="L36" s="94">
        <v>0.26719999999999999</v>
      </c>
      <c r="M36" s="95">
        <f t="shared" si="13"/>
        <v>0.50526754439999999</v>
      </c>
      <c r="N36" s="96">
        <v>131.84712999999999</v>
      </c>
      <c r="O36" s="97">
        <v>56.831000000000003</v>
      </c>
      <c r="T36" s="68">
        <f t="shared" si="0"/>
        <v>0.75</v>
      </c>
      <c r="U36" s="69">
        <f t="shared" si="1"/>
        <v>-0.3</v>
      </c>
      <c r="V36" s="70">
        <f t="shared" si="14"/>
        <v>0.02</v>
      </c>
      <c r="W36" s="71">
        <f t="shared" ref="W36:W67" si="15">E36/$R$8</f>
        <v>0.25341036296909575</v>
      </c>
      <c r="X36" s="63">
        <f t="shared" ref="X36:X67" si="16">F36/$R$8</f>
        <v>0.13371011459305399</v>
      </c>
      <c r="Y36" s="73">
        <f t="shared" ref="Y36:Y67" si="17">G36/$R$8</f>
        <v>0.21124311500397769</v>
      </c>
      <c r="Z36" s="74">
        <f t="shared" ref="Z36:Z67" si="18">H36/$R$8</f>
        <v>-8.7953863188727343E-3</v>
      </c>
      <c r="AA36" s="74">
        <f t="shared" ref="AA36:AA67" si="19">I36/$R$8</f>
        <v>1.9062405745644311E-2</v>
      </c>
      <c r="AB36" s="73">
        <f t="shared" ref="AB36:AB67" si="20">J36/$R$8</f>
        <v>0.16201729118295416</v>
      </c>
      <c r="AC36" s="74">
        <f t="shared" ref="AC36:AC67" si="21">K36/$R$8</f>
        <v>0.11060122386434255</v>
      </c>
      <c r="AD36" s="74">
        <f t="shared" ref="AD36:AD67" si="22">L36/$R$8</f>
        <v>5.4088083415484337E-2</v>
      </c>
      <c r="AE36" s="75">
        <f t="shared" si="10"/>
        <v>2.0703877065056484E-2</v>
      </c>
      <c r="AF36" s="76">
        <f t="shared" ref="AF36:AF67" si="23">N36/$R$11</f>
        <v>7.23707431601889</v>
      </c>
      <c r="AG36" s="77">
        <f t="shared" ref="AG36:AG67" si="24">O36/$R$11</f>
        <v>3.1194472754444451</v>
      </c>
    </row>
    <row r="37" spans="1:33" x14ac:dyDescent="0.2">
      <c r="A37" s="2"/>
      <c r="B37" s="89">
        <v>150</v>
      </c>
      <c r="C37" s="90">
        <v>60</v>
      </c>
      <c r="D37" s="91">
        <v>4</v>
      </c>
      <c r="E37" s="92">
        <v>1.23248</v>
      </c>
      <c r="F37" s="93">
        <v>0.63107000000000002</v>
      </c>
      <c r="G37" s="93">
        <v>1.0348200000000001</v>
      </c>
      <c r="H37" s="94">
        <v>-1.4999999999999999E-2</v>
      </c>
      <c r="I37" s="94">
        <v>8.6959999999999996E-2</v>
      </c>
      <c r="J37" s="93">
        <v>0.76985000000000003</v>
      </c>
      <c r="K37" s="94">
        <v>0.54159000000000002</v>
      </c>
      <c r="L37" s="94">
        <v>0.23955000000000001</v>
      </c>
      <c r="M37" s="95">
        <f t="shared" si="13"/>
        <v>0.47168647655000007</v>
      </c>
      <c r="N37" s="96">
        <v>107.69412909090909</v>
      </c>
      <c r="O37" s="97">
        <v>60.510379999999998</v>
      </c>
      <c r="T37" s="68">
        <f t="shared" si="0"/>
        <v>0.75</v>
      </c>
      <c r="U37" s="69">
        <f t="shared" si="1"/>
        <v>0.3</v>
      </c>
      <c r="V37" s="70">
        <f t="shared" si="14"/>
        <v>0.02</v>
      </c>
      <c r="W37" s="71">
        <f t="shared" si="15"/>
        <v>0.24948533326315919</v>
      </c>
      <c r="X37" s="63">
        <f t="shared" si="16"/>
        <v>0.12774463623132373</v>
      </c>
      <c r="Y37" s="73">
        <f t="shared" si="17"/>
        <v>0.20947391646710892</v>
      </c>
      <c r="Z37" s="74">
        <f t="shared" si="18"/>
        <v>-3.0363819282644647E-3</v>
      </c>
      <c r="AA37" s="74">
        <f t="shared" si="19"/>
        <v>1.7602918165458524E-2</v>
      </c>
      <c r="AB37" s="73">
        <f t="shared" si="20"/>
        <v>0.15583724183162656</v>
      </c>
      <c r="AC37" s="74">
        <f t="shared" si="21"/>
        <v>0.10963160590191678</v>
      </c>
      <c r="AD37" s="74">
        <f t="shared" si="22"/>
        <v>4.8491019394383508E-2</v>
      </c>
      <c r="AE37" s="75">
        <f t="shared" si="10"/>
        <v>1.9327856958114269E-2</v>
      </c>
      <c r="AF37" s="76">
        <f t="shared" si="23"/>
        <v>5.911318779785657</v>
      </c>
      <c r="AG37" s="77">
        <f t="shared" si="24"/>
        <v>3.321408034824445</v>
      </c>
    </row>
    <row r="38" spans="1:33" x14ac:dyDescent="0.2">
      <c r="A38" s="2"/>
      <c r="B38" s="89">
        <v>150</v>
      </c>
      <c r="C38" s="90">
        <v>180</v>
      </c>
      <c r="D38" s="91">
        <v>4</v>
      </c>
      <c r="E38" s="92">
        <v>1.23969</v>
      </c>
      <c r="F38" s="93">
        <v>0.63610999999999995</v>
      </c>
      <c r="G38" s="93">
        <v>1.0280100000000001</v>
      </c>
      <c r="H38" s="94">
        <v>1.4E-3</v>
      </c>
      <c r="I38" s="94">
        <v>9.3579999999999997E-2</v>
      </c>
      <c r="J38" s="93">
        <v>0.77800999999999998</v>
      </c>
      <c r="K38" s="94">
        <v>0.57877999999999996</v>
      </c>
      <c r="L38" s="94">
        <v>0.22905</v>
      </c>
      <c r="M38" s="95">
        <f t="shared" si="13"/>
        <v>0.49637487549999992</v>
      </c>
      <c r="N38" s="96">
        <v>14.612585384615386</v>
      </c>
      <c r="O38" s="97">
        <v>19.600000000000001</v>
      </c>
      <c r="T38" s="68">
        <f t="shared" si="0"/>
        <v>0.75</v>
      </c>
      <c r="U38" s="69">
        <f t="shared" si="1"/>
        <v>0.9</v>
      </c>
      <c r="V38" s="70">
        <f t="shared" si="14"/>
        <v>0.02</v>
      </c>
      <c r="W38" s="71">
        <f t="shared" si="15"/>
        <v>0.25094482084334496</v>
      </c>
      <c r="X38" s="63">
        <f t="shared" si="16"/>
        <v>0.12876486055922057</v>
      </c>
      <c r="Y38" s="73">
        <f t="shared" si="17"/>
        <v>0.20809539907167687</v>
      </c>
      <c r="Z38" s="74">
        <f t="shared" si="18"/>
        <v>2.8339564663801671E-4</v>
      </c>
      <c r="AA38" s="74">
        <f t="shared" si="19"/>
        <v>1.8942974723132576E-2</v>
      </c>
      <c r="AB38" s="73">
        <f t="shared" si="20"/>
        <v>0.15748903360060243</v>
      </c>
      <c r="AC38" s="74">
        <f t="shared" si="21"/>
        <v>0.11715980882939379</v>
      </c>
      <c r="AD38" s="74">
        <f t="shared" si="22"/>
        <v>4.6365552044598385E-2</v>
      </c>
      <c r="AE38" s="75">
        <f t="shared" si="10"/>
        <v>2.033949046289607E-2</v>
      </c>
      <c r="AF38" s="76">
        <f t="shared" si="23"/>
        <v>0.80208318814094037</v>
      </c>
      <c r="AG38" s="77">
        <f t="shared" si="24"/>
        <v>1.0758418222222226</v>
      </c>
    </row>
    <row r="39" spans="1:33" x14ac:dyDescent="0.2">
      <c r="A39" s="2"/>
      <c r="B39" s="89">
        <v>190</v>
      </c>
      <c r="C39" s="90">
        <v>0</v>
      </c>
      <c r="D39" s="91">
        <v>4</v>
      </c>
      <c r="E39" s="92">
        <v>0.66608999999999996</v>
      </c>
      <c r="F39" s="93">
        <v>0.28572999999999998</v>
      </c>
      <c r="G39" s="93">
        <v>-0.42032999999999998</v>
      </c>
      <c r="H39" s="94">
        <v>3.7609999999999998E-2</v>
      </c>
      <c r="I39" s="94">
        <v>0.25146000000000002</v>
      </c>
      <c r="J39" s="93">
        <v>0.43051</v>
      </c>
      <c r="K39" s="94">
        <v>0.67162999999999995</v>
      </c>
      <c r="L39" s="94">
        <v>0.24315999999999999</v>
      </c>
      <c r="M39" s="95">
        <f t="shared" si="13"/>
        <v>0.34777625129999995</v>
      </c>
      <c r="N39" s="96">
        <v>98.126754545454546</v>
      </c>
      <c r="O39" s="97">
        <v>30.265409999999999</v>
      </c>
      <c r="T39" s="68">
        <f t="shared" si="0"/>
        <v>0.95</v>
      </c>
      <c r="U39" s="69">
        <f t="shared" si="1"/>
        <v>0</v>
      </c>
      <c r="V39" s="70">
        <f t="shared" si="14"/>
        <v>0.02</v>
      </c>
      <c r="W39" s="71">
        <f t="shared" si="15"/>
        <v>0.13483357590651182</v>
      </c>
      <c r="X39" s="63">
        <f t="shared" si="16"/>
        <v>5.7839027224200368E-2</v>
      </c>
      <c r="Y39" s="73">
        <f t="shared" si="17"/>
        <v>-8.508549439382683E-2</v>
      </c>
      <c r="Z39" s="74">
        <f t="shared" si="18"/>
        <v>7.6132216214684348E-3</v>
      </c>
      <c r="AA39" s="74">
        <f t="shared" si="19"/>
        <v>5.0901906645425495E-2</v>
      </c>
      <c r="AB39" s="73">
        <f t="shared" si="20"/>
        <v>8.7146185595808986E-2</v>
      </c>
      <c r="AC39" s="74">
        <f t="shared" si="21"/>
        <v>0.13595501296535084</v>
      </c>
      <c r="AD39" s="74">
        <f t="shared" si="22"/>
        <v>4.9221775311785822E-2</v>
      </c>
      <c r="AE39" s="75">
        <f t="shared" si="10"/>
        <v>1.4250503189575913E-2</v>
      </c>
      <c r="AF39" s="76">
        <f t="shared" si="23"/>
        <v>5.3861666540272735</v>
      </c>
      <c r="AG39" s="77">
        <f t="shared" si="24"/>
        <v>1.6612649920766669</v>
      </c>
    </row>
    <row r="40" spans="1:33" x14ac:dyDescent="0.2">
      <c r="A40" s="2"/>
      <c r="B40" s="89">
        <v>210</v>
      </c>
      <c r="C40" s="90">
        <v>-180</v>
      </c>
      <c r="D40" s="91">
        <v>4</v>
      </c>
      <c r="E40" s="92">
        <v>1.1968399999999999</v>
      </c>
      <c r="F40" s="93">
        <v>0.61417999999999995</v>
      </c>
      <c r="G40" s="93">
        <v>0.75663999999999998</v>
      </c>
      <c r="H40" s="94">
        <v>-0.10759000000000001</v>
      </c>
      <c r="I40" s="94">
        <v>-1.8290000000000001E-2</v>
      </c>
      <c r="J40" s="93">
        <v>0.88878999999999997</v>
      </c>
      <c r="K40" s="94">
        <v>0.77236000000000005</v>
      </c>
      <c r="L40" s="94">
        <v>0.25923000000000002</v>
      </c>
      <c r="M40" s="95">
        <f t="shared" si="13"/>
        <v>0.72684391329999998</v>
      </c>
      <c r="N40" s="96">
        <v>30.838368461538465</v>
      </c>
      <c r="O40" s="97">
        <v>28.62069</v>
      </c>
      <c r="T40" s="68">
        <f t="shared" si="0"/>
        <v>1.05</v>
      </c>
      <c r="U40" s="69">
        <f t="shared" si="1"/>
        <v>-0.9</v>
      </c>
      <c r="V40" s="70">
        <f t="shared" si="14"/>
        <v>0.02</v>
      </c>
      <c r="W40" s="71">
        <f t="shared" si="15"/>
        <v>0.2422708898016028</v>
      </c>
      <c r="X40" s="63">
        <f t="shared" si="16"/>
        <v>0.12432567018009794</v>
      </c>
      <c r="Y40" s="73">
        <f t="shared" si="17"/>
        <v>0.15316320148013499</v>
      </c>
      <c r="Z40" s="74">
        <f t="shared" si="18"/>
        <v>-2.1778955444131588E-2</v>
      </c>
      <c r="AA40" s="74">
        <f t="shared" si="19"/>
        <v>-3.7023616978638044E-3</v>
      </c>
      <c r="AB40" s="73">
        <f t="shared" si="20"/>
        <v>0.17991372626814492</v>
      </c>
      <c r="AC40" s="74">
        <f t="shared" si="21"/>
        <v>0.15634532974095616</v>
      </c>
      <c r="AD40" s="74">
        <f t="shared" si="22"/>
        <v>5.2474752484266488E-2</v>
      </c>
      <c r="AE40" s="75">
        <f t="shared" si="10"/>
        <v>2.978320533989116E-2</v>
      </c>
      <c r="AF40" s="76">
        <f t="shared" si="23"/>
        <v>1.692714618368462</v>
      </c>
      <c r="AG40" s="77">
        <f t="shared" si="24"/>
        <v>1.5709864940233336</v>
      </c>
    </row>
    <row r="41" spans="1:33" x14ac:dyDescent="0.2">
      <c r="A41" s="2"/>
      <c r="B41" s="89">
        <v>210</v>
      </c>
      <c r="C41" s="90">
        <v>-120</v>
      </c>
      <c r="D41" s="91">
        <v>4</v>
      </c>
      <c r="E41" s="92">
        <v>0.88356000000000001</v>
      </c>
      <c r="F41" s="93">
        <v>0.41715000000000002</v>
      </c>
      <c r="G41" s="93">
        <v>-0.61685000000000001</v>
      </c>
      <c r="H41" s="94">
        <v>-2.068E-2</v>
      </c>
      <c r="I41" s="94">
        <v>0.15256</v>
      </c>
      <c r="J41" s="93">
        <v>0.58553999999999995</v>
      </c>
      <c r="K41" s="94">
        <v>0.66069</v>
      </c>
      <c r="L41" s="94">
        <v>0.2757</v>
      </c>
      <c r="M41" s="95">
        <f t="shared" si="13"/>
        <v>0.42768942885</v>
      </c>
      <c r="N41" s="96">
        <v>74.880685384615376</v>
      </c>
      <c r="O41" s="97">
        <v>40.871929999999999</v>
      </c>
      <c r="T41" s="68">
        <f t="shared" si="0"/>
        <v>1.05</v>
      </c>
      <c r="U41" s="69">
        <f t="shared" si="1"/>
        <v>-0.6</v>
      </c>
      <c r="V41" s="70">
        <f t="shared" si="14"/>
        <v>0.02</v>
      </c>
      <c r="W41" s="71">
        <f t="shared" si="15"/>
        <v>0.17885504110249006</v>
      </c>
      <c r="X41" s="63">
        <f t="shared" si="16"/>
        <v>8.4441781425034779E-2</v>
      </c>
      <c r="Y41" s="73">
        <f t="shared" si="17"/>
        <v>-0.12486614616332901</v>
      </c>
      <c r="Z41" s="74">
        <f t="shared" si="18"/>
        <v>-4.1861585517672757E-3</v>
      </c>
      <c r="AA41" s="74">
        <f t="shared" si="19"/>
        <v>3.0882028465068451E-2</v>
      </c>
      <c r="AB41" s="73">
        <f t="shared" si="20"/>
        <v>0.11852820495173165</v>
      </c>
      <c r="AC41" s="74">
        <f t="shared" si="21"/>
        <v>0.13374047841233663</v>
      </c>
      <c r="AD41" s="74">
        <f t="shared" si="22"/>
        <v>5.5808699841500865E-2</v>
      </c>
      <c r="AE41" s="75">
        <f t="shared" si="10"/>
        <v>1.7525030956519562E-2</v>
      </c>
      <c r="AF41" s="76">
        <f t="shared" si="23"/>
        <v>4.1101925006853852</v>
      </c>
      <c r="AG41" s="77">
        <f t="shared" si="24"/>
        <v>2.2434556963744448</v>
      </c>
    </row>
    <row r="42" spans="1:33" x14ac:dyDescent="0.2">
      <c r="A42" s="2"/>
      <c r="B42" s="89">
        <v>210</v>
      </c>
      <c r="C42" s="90">
        <v>-60</v>
      </c>
      <c r="D42" s="91">
        <v>4</v>
      </c>
      <c r="E42" s="92">
        <v>1.28969</v>
      </c>
      <c r="F42" s="93">
        <v>0.63683000000000001</v>
      </c>
      <c r="G42" s="93">
        <v>0.91049999999999998</v>
      </c>
      <c r="H42" s="94">
        <v>-6.5030000000000004E-2</v>
      </c>
      <c r="I42" s="94">
        <v>7.6060000000000003E-2</v>
      </c>
      <c r="J42" s="93">
        <v>0.94240999999999997</v>
      </c>
      <c r="K42" s="94">
        <v>0.74885999999999997</v>
      </c>
      <c r="L42" s="94">
        <v>0.24374999999999999</v>
      </c>
      <c r="M42" s="95">
        <f t="shared" si="13"/>
        <v>0.75417098509999991</v>
      </c>
      <c r="N42" s="96">
        <v>125.33689454545454</v>
      </c>
      <c r="O42" s="97">
        <v>61.435029999999998</v>
      </c>
      <c r="T42" s="68">
        <f t="shared" si="0"/>
        <v>1.05</v>
      </c>
      <c r="U42" s="69">
        <f t="shared" si="1"/>
        <v>-0.3</v>
      </c>
      <c r="V42" s="70">
        <f t="shared" si="14"/>
        <v>0.02</v>
      </c>
      <c r="W42" s="71">
        <f t="shared" si="15"/>
        <v>0.26106609393755986</v>
      </c>
      <c r="X42" s="63">
        <f t="shared" si="16"/>
        <v>0.12891060689177727</v>
      </c>
      <c r="Y42" s="73">
        <f t="shared" si="17"/>
        <v>0.18430838304565303</v>
      </c>
      <c r="Z42" s="74">
        <f t="shared" si="18"/>
        <v>-1.3163727786335878E-2</v>
      </c>
      <c r="AA42" s="74">
        <f t="shared" si="19"/>
        <v>1.5396480630919682E-2</v>
      </c>
      <c r="AB42" s="73">
        <f t="shared" si="20"/>
        <v>0.19076777953438095</v>
      </c>
      <c r="AC42" s="74">
        <f t="shared" si="21"/>
        <v>0.15158833138667516</v>
      </c>
      <c r="AD42" s="74">
        <f t="shared" si="22"/>
        <v>4.9341206334297553E-2</v>
      </c>
      <c r="AE42" s="75">
        <f t="shared" si="10"/>
        <v>3.0902961281799174E-2</v>
      </c>
      <c r="AF42" s="76">
        <f t="shared" si="23"/>
        <v>6.8797282152783845</v>
      </c>
      <c r="AG42" s="77">
        <f t="shared" si="24"/>
        <v>3.3721619705855561</v>
      </c>
    </row>
    <row r="43" spans="1:33" x14ac:dyDescent="0.2">
      <c r="A43" s="2"/>
      <c r="B43" s="89">
        <v>210</v>
      </c>
      <c r="C43" s="90">
        <v>0</v>
      </c>
      <c r="D43" s="91">
        <v>4</v>
      </c>
      <c r="E43" s="92">
        <v>0.88134000000000001</v>
      </c>
      <c r="F43" s="93">
        <v>0.43264999999999998</v>
      </c>
      <c r="G43" s="93">
        <v>-0.62878999999999996</v>
      </c>
      <c r="H43" s="94">
        <v>3.141E-2</v>
      </c>
      <c r="I43" s="94">
        <v>0.21035000000000001</v>
      </c>
      <c r="J43" s="93">
        <v>0.60762000000000005</v>
      </c>
      <c r="K43" s="94">
        <v>0.64976</v>
      </c>
      <c r="L43" s="94">
        <v>0.25606000000000001</v>
      </c>
      <c r="M43" s="95">
        <f t="shared" si="13"/>
        <v>0.42847842280000009</v>
      </c>
      <c r="N43" s="96">
        <v>99.286035454545456</v>
      </c>
      <c r="O43" s="97">
        <v>35.715730000000001</v>
      </c>
      <c r="T43" s="68">
        <f t="shared" si="0"/>
        <v>1.05</v>
      </c>
      <c r="U43" s="69">
        <f t="shared" si="1"/>
        <v>0</v>
      </c>
      <c r="V43" s="70">
        <f t="shared" si="14"/>
        <v>0.02</v>
      </c>
      <c r="W43" s="71">
        <f t="shared" si="15"/>
        <v>0.17840565657710691</v>
      </c>
      <c r="X43" s="63">
        <f t="shared" si="16"/>
        <v>8.7579376084241378E-2</v>
      </c>
      <c r="Y43" s="73">
        <f t="shared" si="17"/>
        <v>-0.12728310617822752</v>
      </c>
      <c r="Z43" s="74">
        <f t="shared" si="18"/>
        <v>6.3581837577857897E-3</v>
      </c>
      <c r="AA43" s="74">
        <f t="shared" si="19"/>
        <v>4.2580195907362013E-2</v>
      </c>
      <c r="AB43" s="73">
        <f t="shared" si="20"/>
        <v>0.12299775915013696</v>
      </c>
      <c r="AC43" s="74">
        <f t="shared" si="21"/>
        <v>0.13152796811394124</v>
      </c>
      <c r="AD43" s="74">
        <f t="shared" si="22"/>
        <v>5.1833063770093266E-2</v>
      </c>
      <c r="AE43" s="75">
        <f t="shared" si="10"/>
        <v>1.7557360825965804E-2</v>
      </c>
      <c r="AF43" s="76">
        <f t="shared" si="23"/>
        <v>5.4497994543182839</v>
      </c>
      <c r="AG43" s="77">
        <f t="shared" si="24"/>
        <v>1.960432451285556</v>
      </c>
    </row>
    <row r="44" spans="1:33" x14ac:dyDescent="0.2">
      <c r="A44" s="2"/>
      <c r="B44" s="89">
        <v>210</v>
      </c>
      <c r="C44" s="90">
        <v>60</v>
      </c>
      <c r="D44" s="91">
        <v>4</v>
      </c>
      <c r="E44" s="92">
        <v>1.20472</v>
      </c>
      <c r="F44" s="93">
        <v>0.61824000000000001</v>
      </c>
      <c r="G44" s="93">
        <v>0.72330000000000005</v>
      </c>
      <c r="H44" s="94">
        <v>-4.47E-3</v>
      </c>
      <c r="I44" s="94">
        <v>7.7780000000000002E-2</v>
      </c>
      <c r="J44" s="93">
        <v>0.99261999999999995</v>
      </c>
      <c r="K44" s="94">
        <v>0.78252999999999995</v>
      </c>
      <c r="L44" s="94">
        <v>0.21589</v>
      </c>
      <c r="M44" s="95">
        <f t="shared" si="13"/>
        <v>0.82212807869999993</v>
      </c>
      <c r="N44" s="96">
        <v>97.766132727272733</v>
      </c>
      <c r="O44" s="97">
        <v>52.678809999999999</v>
      </c>
      <c r="T44" s="68">
        <f t="shared" si="0"/>
        <v>1.05</v>
      </c>
      <c r="U44" s="69">
        <f t="shared" si="1"/>
        <v>0.3</v>
      </c>
      <c r="V44" s="70">
        <f t="shared" si="14"/>
        <v>0.02</v>
      </c>
      <c r="W44" s="71">
        <f t="shared" si="15"/>
        <v>0.24386600244125109</v>
      </c>
      <c r="X44" s="63">
        <f t="shared" si="16"/>
        <v>0.1251475175553482</v>
      </c>
      <c r="Y44" s="73">
        <f t="shared" si="17"/>
        <v>0.14641433658091252</v>
      </c>
      <c r="Z44" s="74">
        <f t="shared" si="18"/>
        <v>-9.0484181462281059E-4</v>
      </c>
      <c r="AA44" s="74">
        <f t="shared" si="19"/>
        <v>1.5744652425360672E-2</v>
      </c>
      <c r="AB44" s="73">
        <f t="shared" si="20"/>
        <v>0.20093156197559153</v>
      </c>
      <c r="AC44" s="74">
        <f t="shared" si="21"/>
        <v>0.15840399668831945</v>
      </c>
      <c r="AD44" s="74">
        <f t="shared" si="22"/>
        <v>4.3701632966201026E-2</v>
      </c>
      <c r="AE44" s="75">
        <f t="shared" si="10"/>
        <v>3.368757574434833E-2</v>
      </c>
      <c r="AF44" s="76">
        <f t="shared" si="23"/>
        <v>5.366372162496365</v>
      </c>
      <c r="AG44" s="77">
        <f t="shared" si="24"/>
        <v>2.8915340276988895</v>
      </c>
    </row>
    <row r="45" spans="1:33" x14ac:dyDescent="0.2">
      <c r="A45" s="2"/>
      <c r="B45" s="89">
        <v>210</v>
      </c>
      <c r="C45" s="90">
        <v>120</v>
      </c>
      <c r="D45" s="91">
        <v>4</v>
      </c>
      <c r="E45" s="92">
        <v>0.94121999999999995</v>
      </c>
      <c r="F45" s="93">
        <v>0.47311999999999999</v>
      </c>
      <c r="G45" s="93">
        <v>-0.68718000000000001</v>
      </c>
      <c r="H45" s="94">
        <v>4.7469999999999998E-2</v>
      </c>
      <c r="I45" s="94">
        <v>0.14487</v>
      </c>
      <c r="J45" s="93">
        <v>0.64907999999999999</v>
      </c>
      <c r="K45" s="94">
        <v>0.67759000000000003</v>
      </c>
      <c r="L45" s="94">
        <v>0.24492</v>
      </c>
      <c r="M45" s="95">
        <f t="shared" si="13"/>
        <v>0.47020943045000002</v>
      </c>
      <c r="N45" s="96">
        <v>50.619866923076927</v>
      </c>
      <c r="O45" s="97">
        <v>36.774900000000002</v>
      </c>
      <c r="T45" s="68">
        <f t="shared" si="0"/>
        <v>1.05</v>
      </c>
      <c r="U45" s="69">
        <f t="shared" si="1"/>
        <v>0.6</v>
      </c>
      <c r="V45" s="70">
        <f t="shared" si="14"/>
        <v>0.02</v>
      </c>
      <c r="W45" s="71">
        <f t="shared" si="15"/>
        <v>0.19052689323473865</v>
      </c>
      <c r="X45" s="63">
        <f t="shared" si="16"/>
        <v>9.5771534526698912E-2</v>
      </c>
      <c r="Y45" s="73">
        <f t="shared" si="17"/>
        <v>-0.13910272889765168</v>
      </c>
      <c r="Z45" s="74">
        <f t="shared" si="18"/>
        <v>9.6091366756476098E-3</v>
      </c>
      <c r="AA45" s="74">
        <f t="shared" si="19"/>
        <v>2.9325376663178204E-2</v>
      </c>
      <c r="AB45" s="73">
        <f t="shared" si="20"/>
        <v>0.13139031879985993</v>
      </c>
      <c r="AC45" s="74">
        <f t="shared" si="21"/>
        <v>0.13716146871818127</v>
      </c>
      <c r="AD45" s="74">
        <f t="shared" si="22"/>
        <v>4.9578044124702188E-2</v>
      </c>
      <c r="AE45" s="75">
        <f t="shared" si="10"/>
        <v>1.9267333417244181E-2</v>
      </c>
      <c r="AF45" s="76">
        <f t="shared" si="23"/>
        <v>2.7785188709780351</v>
      </c>
      <c r="AG45" s="77">
        <f t="shared" si="24"/>
        <v>2.0185701749000007</v>
      </c>
    </row>
    <row r="46" spans="1:33" x14ac:dyDescent="0.2">
      <c r="A46" s="2"/>
      <c r="B46" s="89">
        <v>210</v>
      </c>
      <c r="C46" s="90">
        <v>180</v>
      </c>
      <c r="D46" s="91">
        <v>4</v>
      </c>
      <c r="E46" s="92">
        <v>1.16706</v>
      </c>
      <c r="F46" s="93">
        <v>0.59996000000000005</v>
      </c>
      <c r="G46" s="93">
        <v>0.71009999999999995</v>
      </c>
      <c r="H46" s="94">
        <v>-2.316E-2</v>
      </c>
      <c r="I46" s="94">
        <v>-6.5700000000000003E-3</v>
      </c>
      <c r="J46" s="93">
        <v>0.95357999999999998</v>
      </c>
      <c r="K46" s="94">
        <v>0.79729000000000005</v>
      </c>
      <c r="L46" s="94">
        <v>0.21396000000000001</v>
      </c>
      <c r="M46" s="95">
        <f t="shared" si="13"/>
        <v>0.79538252105000007</v>
      </c>
      <c r="N46" s="96">
        <v>19.360218461538459</v>
      </c>
      <c r="O46" s="97">
        <v>22.411580000000001</v>
      </c>
      <c r="T46" s="68">
        <f t="shared" si="0"/>
        <v>1.05</v>
      </c>
      <c r="U46" s="69">
        <f t="shared" si="1"/>
        <v>0.9</v>
      </c>
      <c r="V46" s="70">
        <f t="shared" si="14"/>
        <v>0.02</v>
      </c>
      <c r="W46" s="71">
        <f t="shared" si="15"/>
        <v>0.23624265954668844</v>
      </c>
      <c r="X46" s="63">
        <f t="shared" si="16"/>
        <v>0.12144718011210325</v>
      </c>
      <c r="Y46" s="73">
        <f t="shared" si="17"/>
        <v>0.14374232048403976</v>
      </c>
      <c r="Z46" s="74">
        <f t="shared" si="18"/>
        <v>-4.6881736972403344E-3</v>
      </c>
      <c r="AA46" s="74">
        <f t="shared" si="19"/>
        <v>-1.3299352845798358E-3</v>
      </c>
      <c r="AB46" s="73">
        <f t="shared" si="20"/>
        <v>0.19302887194362855</v>
      </c>
      <c r="AC46" s="74">
        <f t="shared" si="21"/>
        <v>0.16139179650573171</v>
      </c>
      <c r="AD46" s="74">
        <f t="shared" si="22"/>
        <v>4.3310951824764334E-2</v>
      </c>
      <c r="AE46" s="75">
        <f t="shared" si="10"/>
        <v>3.2591647965572165E-2</v>
      </c>
      <c r="AF46" s="76">
        <f t="shared" si="23"/>
        <v>1.0626802402184616</v>
      </c>
      <c r="AG46" s="77">
        <f t="shared" si="24"/>
        <v>1.2301691360244447</v>
      </c>
    </row>
    <row r="47" spans="1:33" x14ac:dyDescent="0.2">
      <c r="A47" s="2"/>
      <c r="B47" s="89">
        <v>230</v>
      </c>
      <c r="C47" s="90">
        <v>0</v>
      </c>
      <c r="D47" s="91">
        <v>4</v>
      </c>
      <c r="E47" s="92">
        <v>0.83536999999999995</v>
      </c>
      <c r="F47" s="93">
        <v>0.36651</v>
      </c>
      <c r="G47" s="93">
        <v>-0.57550000000000001</v>
      </c>
      <c r="H47" s="94">
        <v>-6.2300000000000003E-3</v>
      </c>
      <c r="I47" s="94">
        <v>4.197E-2</v>
      </c>
      <c r="J47" s="93">
        <v>0.46211999999999998</v>
      </c>
      <c r="K47" s="94">
        <v>0.95037000000000005</v>
      </c>
      <c r="L47" s="94">
        <v>0.28129999999999999</v>
      </c>
      <c r="M47" s="95">
        <f t="shared" si="13"/>
        <v>0.59794386065000005</v>
      </c>
      <c r="N47" s="96">
        <v>101.54098727272726</v>
      </c>
      <c r="O47" s="97">
        <v>40.20693</v>
      </c>
      <c r="T47" s="68">
        <f t="shared" si="0"/>
        <v>1.1499999999999999</v>
      </c>
      <c r="U47" s="69">
        <f t="shared" si="1"/>
        <v>0</v>
      </c>
      <c r="V47" s="70">
        <f t="shared" si="14"/>
        <v>0.02</v>
      </c>
      <c r="W47" s="71">
        <f t="shared" si="15"/>
        <v>0.16910015809428575</v>
      </c>
      <c r="X47" s="63">
        <f t="shared" si="16"/>
        <v>7.4190956035213945E-2</v>
      </c>
      <c r="Y47" s="73">
        <f t="shared" si="17"/>
        <v>-0.11649585331441331</v>
      </c>
      <c r="Z47" s="74">
        <f t="shared" si="18"/>
        <v>-1.2611106275391745E-3</v>
      </c>
      <c r="AA47" s="74">
        <f t="shared" si="19"/>
        <v>8.4957966352839729E-3</v>
      </c>
      <c r="AB47" s="73">
        <f t="shared" si="20"/>
        <v>9.3544854445971631E-2</v>
      </c>
      <c r="AC47" s="74">
        <f t="shared" si="21"/>
        <v>0.19237908621097999</v>
      </c>
      <c r="AD47" s="74">
        <f t="shared" si="22"/>
        <v>5.694228242805293E-2</v>
      </c>
      <c r="AE47" s="75">
        <f t="shared" si="10"/>
        <v>2.4501388066402917E-2</v>
      </c>
      <c r="AF47" s="76">
        <f t="shared" si="23"/>
        <v>5.5735735090680816</v>
      </c>
      <c r="AG47" s="77">
        <f t="shared" si="24"/>
        <v>2.2069539202633339</v>
      </c>
    </row>
    <row r="48" spans="1:33" x14ac:dyDescent="0.2">
      <c r="A48" s="2"/>
      <c r="B48" s="68">
        <v>330</v>
      </c>
      <c r="C48" s="69">
        <v>-60</v>
      </c>
      <c r="D48" s="70">
        <v>4</v>
      </c>
      <c r="E48" s="98">
        <v>1.4987699999999999</v>
      </c>
      <c r="F48" s="99">
        <v>0.68672999999999995</v>
      </c>
      <c r="G48" s="75">
        <v>1.1627799999999999</v>
      </c>
      <c r="H48" s="74">
        <v>2.0129999999999999E-2</v>
      </c>
      <c r="I48" s="74">
        <v>0.10774</v>
      </c>
      <c r="J48" s="75">
        <v>0.97748000000000002</v>
      </c>
      <c r="K48" s="74">
        <v>0.80796999999999997</v>
      </c>
      <c r="L48" s="74">
        <v>0.25396000000000002</v>
      </c>
      <c r="M48" s="75">
        <f t="shared" si="13"/>
        <v>0.83638917644999999</v>
      </c>
      <c r="N48" s="76">
        <v>92.264894999999996</v>
      </c>
      <c r="O48" s="77">
        <v>39.189839999999997</v>
      </c>
      <c r="T48" s="68">
        <f t="shared" si="0"/>
        <v>1.65</v>
      </c>
      <c r="U48" s="69">
        <f t="shared" si="1"/>
        <v>-0.3</v>
      </c>
      <c r="V48" s="70">
        <f t="shared" si="14"/>
        <v>0.02</v>
      </c>
      <c r="W48" s="98">
        <f t="shared" si="15"/>
        <v>0.30338920950832882</v>
      </c>
      <c r="X48" s="63">
        <f t="shared" si="16"/>
        <v>0.13901163743980371</v>
      </c>
      <c r="Y48" s="75">
        <f t="shared" si="17"/>
        <v>0.23537627856982363</v>
      </c>
      <c r="Z48" s="74">
        <f t="shared" si="18"/>
        <v>4.0748245477309122E-3</v>
      </c>
      <c r="AA48" s="74">
        <f t="shared" si="19"/>
        <v>2.1809319263414232E-2</v>
      </c>
      <c r="AB48" s="75">
        <f t="shared" si="20"/>
        <v>0.19786684048266329</v>
      </c>
      <c r="AC48" s="74">
        <f t="shared" si="21"/>
        <v>0.16355370043865597</v>
      </c>
      <c r="AD48" s="74">
        <f t="shared" si="22"/>
        <v>5.140797030013624E-2</v>
      </c>
      <c r="AE48" s="75">
        <f t="shared" si="10"/>
        <v>3.4271939450074514E-2</v>
      </c>
      <c r="AF48" s="76">
        <f t="shared" si="23"/>
        <v>5.0644098348950006</v>
      </c>
      <c r="AG48" s="77">
        <f t="shared" si="24"/>
        <v>2.1511259631733335</v>
      </c>
    </row>
    <row r="49" spans="1:33" x14ac:dyDescent="0.2">
      <c r="A49" s="2"/>
      <c r="B49" s="68">
        <v>330</v>
      </c>
      <c r="C49" s="69">
        <v>0</v>
      </c>
      <c r="D49" s="70">
        <v>4</v>
      </c>
      <c r="E49" s="71">
        <v>0.95940999999999999</v>
      </c>
      <c r="F49" s="72">
        <v>0.47040999999999999</v>
      </c>
      <c r="G49" s="73">
        <v>-0.72662000000000004</v>
      </c>
      <c r="H49" s="74">
        <v>9.7170000000000006E-2</v>
      </c>
      <c r="I49" s="74">
        <v>0.22716</v>
      </c>
      <c r="J49" s="73">
        <v>0.62963000000000002</v>
      </c>
      <c r="K49" s="74">
        <v>0.66907000000000005</v>
      </c>
      <c r="L49" s="74">
        <v>0.2722</v>
      </c>
      <c r="M49" s="75">
        <f t="shared" si="13"/>
        <v>0.45909072090000003</v>
      </c>
      <c r="N49" s="76">
        <v>81.160734545454545</v>
      </c>
      <c r="O49" s="77">
        <v>27.092300000000002</v>
      </c>
      <c r="T49" s="68">
        <f t="shared" si="0"/>
        <v>1.65</v>
      </c>
      <c r="U49" s="69">
        <f t="shared" si="1"/>
        <v>0</v>
      </c>
      <c r="V49" s="70">
        <f t="shared" si="14"/>
        <v>0.02</v>
      </c>
      <c r="W49" s="71">
        <f t="shared" si="15"/>
        <v>0.19420901238641403</v>
      </c>
      <c r="X49" s="63">
        <f t="shared" si="16"/>
        <v>9.5222961524992461E-2</v>
      </c>
      <c r="Y49" s="73">
        <f t="shared" si="17"/>
        <v>-0.14708638911436839</v>
      </c>
      <c r="Z49" s="74">
        <f t="shared" si="18"/>
        <v>1.9669682131297207E-2</v>
      </c>
      <c r="AA49" s="74">
        <f t="shared" si="19"/>
        <v>4.5982967921637058E-2</v>
      </c>
      <c r="AB49" s="73">
        <f t="shared" si="20"/>
        <v>0.12745314356621035</v>
      </c>
      <c r="AC49" s="74">
        <f t="shared" si="21"/>
        <v>0.13543680378292705</v>
      </c>
      <c r="AD49" s="74">
        <f t="shared" si="22"/>
        <v>5.5100210724905826E-2</v>
      </c>
      <c r="AE49" s="75">
        <f t="shared" si="10"/>
        <v>1.8811732422886567E-2</v>
      </c>
      <c r="AF49" s="76">
        <f t="shared" si="23"/>
        <v>4.4549037013406068</v>
      </c>
      <c r="AG49" s="77">
        <f t="shared" si="24"/>
        <v>1.4870933367444448</v>
      </c>
    </row>
    <row r="50" spans="1:33" x14ac:dyDescent="0.2">
      <c r="A50" s="2"/>
      <c r="B50" s="100">
        <v>330</v>
      </c>
      <c r="C50" s="101">
        <v>60</v>
      </c>
      <c r="D50" s="102">
        <v>4</v>
      </c>
      <c r="E50" s="103">
        <v>1.38642</v>
      </c>
      <c r="F50" s="104">
        <v>0.65246999999999999</v>
      </c>
      <c r="G50" s="105">
        <v>0.92744000000000004</v>
      </c>
      <c r="H50" s="106">
        <v>-4.6420000000000003E-2</v>
      </c>
      <c r="I50" s="106">
        <v>8.5050000000000001E-2</v>
      </c>
      <c r="J50" s="105">
        <v>1.00976</v>
      </c>
      <c r="K50" s="106">
        <v>0.84831000000000001</v>
      </c>
      <c r="L50" s="106">
        <v>0.22824</v>
      </c>
      <c r="M50" s="105">
        <f t="shared" si="13"/>
        <v>0.89566930565000002</v>
      </c>
      <c r="N50" s="107">
        <v>75.305369090909096</v>
      </c>
      <c r="O50" s="108">
        <v>35.398859999999999</v>
      </c>
      <c r="T50" s="100">
        <f t="shared" si="0"/>
        <v>1.65</v>
      </c>
      <c r="U50" s="101">
        <f t="shared" si="1"/>
        <v>0.3</v>
      </c>
      <c r="V50" s="102">
        <f t="shared" si="14"/>
        <v>0.02</v>
      </c>
      <c r="W50" s="103">
        <f t="shared" si="15"/>
        <v>0.28064670886562798</v>
      </c>
      <c r="X50" s="63">
        <f t="shared" si="16"/>
        <v>0.13207654111564771</v>
      </c>
      <c r="Y50" s="105">
        <f t="shared" si="17"/>
        <v>0.18773747036997304</v>
      </c>
      <c r="Z50" s="106">
        <f t="shared" si="18"/>
        <v>-9.3965899406690985E-3</v>
      </c>
      <c r="AA50" s="106">
        <f t="shared" si="19"/>
        <v>1.7216285533259518E-2</v>
      </c>
      <c r="AB50" s="105">
        <f t="shared" si="20"/>
        <v>0.20440113439228841</v>
      </c>
      <c r="AC50" s="106">
        <f t="shared" si="21"/>
        <v>0.17171954357106856</v>
      </c>
      <c r="AD50" s="106">
        <f t="shared" si="22"/>
        <v>4.6201587420472097E-2</v>
      </c>
      <c r="AE50" s="105">
        <f t="shared" si="10"/>
        <v>3.6701006032640995E-2</v>
      </c>
      <c r="AF50" s="107">
        <f t="shared" si="23"/>
        <v>4.1335033421367688</v>
      </c>
      <c r="AG50" s="108">
        <f t="shared" si="24"/>
        <v>1.9430394921933336</v>
      </c>
    </row>
    <row r="51" spans="1:33" x14ac:dyDescent="0.2">
      <c r="A51" s="2"/>
      <c r="B51" s="58">
        <v>-150</v>
      </c>
      <c r="C51" s="59">
        <v>-60</v>
      </c>
      <c r="D51" s="60">
        <v>10</v>
      </c>
      <c r="E51" s="61">
        <v>1.4768399999999999</v>
      </c>
      <c r="F51" s="63">
        <v>0.67659000000000002</v>
      </c>
      <c r="G51" s="63">
        <v>1.2158500000000001</v>
      </c>
      <c r="H51" s="64">
        <v>-2.3E-2</v>
      </c>
      <c r="I51" s="64">
        <v>0.14646000000000001</v>
      </c>
      <c r="J51" s="63">
        <v>0.87785000000000002</v>
      </c>
      <c r="K51" s="64">
        <v>0.60892999999999997</v>
      </c>
      <c r="L51" s="64">
        <v>0.36497000000000002</v>
      </c>
      <c r="M51" s="65">
        <f t="shared" si="13"/>
        <v>0.63730973415000003</v>
      </c>
      <c r="N51" s="66">
        <v>311.4835772727273</v>
      </c>
      <c r="O51" s="67">
        <v>391.47269999999997</v>
      </c>
      <c r="T51" s="58">
        <f t="shared" si="0"/>
        <v>-0.75</v>
      </c>
      <c r="U51" s="59">
        <f t="shared" si="1"/>
        <v>-0.3</v>
      </c>
      <c r="V51" s="60">
        <f t="shared" si="14"/>
        <v>0.05</v>
      </c>
      <c r="W51" s="61">
        <f t="shared" si="15"/>
        <v>0.29895001912920616</v>
      </c>
      <c r="X51" s="63">
        <f t="shared" si="16"/>
        <v>0.13695904325629696</v>
      </c>
      <c r="Y51" s="63">
        <f t="shared" si="17"/>
        <v>0.24611899783202335</v>
      </c>
      <c r="Z51" s="64">
        <f t="shared" si="18"/>
        <v>-4.6557856233388466E-3</v>
      </c>
      <c r="AA51" s="64">
        <f t="shared" si="19"/>
        <v>2.964723314757424E-2</v>
      </c>
      <c r="AB51" s="63">
        <f t="shared" si="20"/>
        <v>0.17769919171513071</v>
      </c>
      <c r="AC51" s="64">
        <f t="shared" si="21"/>
        <v>0.12326293650520537</v>
      </c>
      <c r="AD51" s="64">
        <f t="shared" si="22"/>
        <v>7.3879220823912128E-2</v>
      </c>
      <c r="AE51" s="65">
        <f t="shared" si="10"/>
        <v>2.6114446760822724E-2</v>
      </c>
      <c r="AF51" s="66">
        <f t="shared" si="23"/>
        <v>17.097298947213641</v>
      </c>
      <c r="AG51" s="67">
        <f t="shared" si="24"/>
        <v>21.487893006033335</v>
      </c>
    </row>
    <row r="52" spans="1:33" x14ac:dyDescent="0.2">
      <c r="A52" s="2"/>
      <c r="B52" s="68">
        <v>-150</v>
      </c>
      <c r="C52" s="69">
        <v>0</v>
      </c>
      <c r="D52" s="70">
        <v>10</v>
      </c>
      <c r="E52" s="71">
        <v>0.86031000000000002</v>
      </c>
      <c r="F52" s="73">
        <v>0.36654999999999999</v>
      </c>
      <c r="G52" s="73">
        <v>-0.63236000000000003</v>
      </c>
      <c r="H52" s="74">
        <v>5.2659999999999998E-2</v>
      </c>
      <c r="I52" s="74">
        <v>0.14285999999999999</v>
      </c>
      <c r="J52" s="73">
        <v>0.49237999999999998</v>
      </c>
      <c r="K52" s="74">
        <v>0.56542000000000003</v>
      </c>
      <c r="L52" s="74">
        <v>0.33633000000000002</v>
      </c>
      <c r="M52" s="75">
        <f t="shared" si="13"/>
        <v>0.33762785484999996</v>
      </c>
      <c r="N52" s="76">
        <v>2279.4479472727271</v>
      </c>
      <c r="O52" s="77">
        <v>958.30758000000003</v>
      </c>
      <c r="T52" s="68">
        <f t="shared" si="0"/>
        <v>-0.75</v>
      </c>
      <c r="U52" s="69">
        <f t="shared" si="1"/>
        <v>0</v>
      </c>
      <c r="V52" s="70">
        <f t="shared" si="14"/>
        <v>0.05</v>
      </c>
      <c r="W52" s="71">
        <f t="shared" si="15"/>
        <v>0.17414864911368014</v>
      </c>
      <c r="X52" s="63">
        <f t="shared" si="16"/>
        <v>7.4199053053689304E-2</v>
      </c>
      <c r="Y52" s="73">
        <f t="shared" si="17"/>
        <v>-0.12800576507715447</v>
      </c>
      <c r="Z52" s="74">
        <f t="shared" si="18"/>
        <v>1.0659724822827114E-2</v>
      </c>
      <c r="AA52" s="74">
        <f t="shared" si="19"/>
        <v>2.8918501484790762E-2</v>
      </c>
      <c r="AB52" s="73">
        <f t="shared" si="20"/>
        <v>9.9670248922590479E-2</v>
      </c>
      <c r="AC52" s="74">
        <f t="shared" si="21"/>
        <v>0.1144554046586196</v>
      </c>
      <c r="AD52" s="74">
        <f t="shared" si="22"/>
        <v>6.8081755595545843E-2</v>
      </c>
      <c r="AE52" s="75">
        <f t="shared" si="10"/>
        <v>1.3834661810415571E-2</v>
      </c>
      <c r="AF52" s="76">
        <f t="shared" si="23"/>
        <v>125.11864455380588</v>
      </c>
      <c r="AG52" s="77">
        <f t="shared" si="24"/>
        <v>52.601396587580012</v>
      </c>
    </row>
    <row r="53" spans="1:33" x14ac:dyDescent="0.2">
      <c r="A53" s="2"/>
      <c r="B53" s="68">
        <v>-150</v>
      </c>
      <c r="C53" s="69">
        <v>60</v>
      </c>
      <c r="D53" s="70">
        <v>10</v>
      </c>
      <c r="E53" s="71">
        <v>1.53529</v>
      </c>
      <c r="F53" s="73">
        <v>0.71523000000000003</v>
      </c>
      <c r="G53" s="73">
        <v>1.27925</v>
      </c>
      <c r="H53" s="74">
        <v>-2.4150000000000001E-2</v>
      </c>
      <c r="I53" s="74">
        <v>0.15425</v>
      </c>
      <c r="J53" s="73">
        <v>0.91466000000000003</v>
      </c>
      <c r="K53" s="74">
        <v>0.64273999999999998</v>
      </c>
      <c r="L53" s="74">
        <v>0.36487000000000003</v>
      </c>
      <c r="M53" s="75">
        <f t="shared" si="13"/>
        <v>0.69142387005000006</v>
      </c>
      <c r="N53" s="76">
        <v>190.07247636363635</v>
      </c>
      <c r="O53" s="77">
        <v>325.47753999999998</v>
      </c>
      <c r="T53" s="68">
        <f t="shared" si="0"/>
        <v>-0.75</v>
      </c>
      <c r="U53" s="69">
        <f t="shared" si="1"/>
        <v>0.3</v>
      </c>
      <c r="V53" s="70">
        <f t="shared" si="14"/>
        <v>0.05</v>
      </c>
      <c r="W53" s="71">
        <f t="shared" si="15"/>
        <v>0.31078178737634338</v>
      </c>
      <c r="X53" s="63">
        <f t="shared" si="16"/>
        <v>0.14478076310350624</v>
      </c>
      <c r="Y53" s="73">
        <f t="shared" si="17"/>
        <v>0.25895277211548778</v>
      </c>
      <c r="Z53" s="74">
        <f t="shared" si="18"/>
        <v>-4.8885749045057885E-3</v>
      </c>
      <c r="AA53" s="74">
        <f t="shared" si="19"/>
        <v>3.1224127495652915E-2</v>
      </c>
      <c r="AB53" s="73">
        <f t="shared" si="20"/>
        <v>0.18515047296709172</v>
      </c>
      <c r="AC53" s="74">
        <f t="shared" si="21"/>
        <v>0.13010694137151349</v>
      </c>
      <c r="AD53" s="74">
        <f t="shared" si="22"/>
        <v>7.3858978277723697E-2</v>
      </c>
      <c r="AE53" s="75">
        <f t="shared" si="10"/>
        <v>2.8331831252608734E-2</v>
      </c>
      <c r="AF53" s="76">
        <f t="shared" si="23"/>
        <v>10.43305710843596</v>
      </c>
      <c r="AG53" s="77">
        <f t="shared" si="24"/>
        <v>17.865426006428891</v>
      </c>
    </row>
    <row r="54" spans="1:33" x14ac:dyDescent="0.2">
      <c r="A54" s="2"/>
      <c r="B54" s="68">
        <v>-120</v>
      </c>
      <c r="C54" s="69">
        <v>-60</v>
      </c>
      <c r="D54" s="70">
        <v>10</v>
      </c>
      <c r="E54" s="71">
        <v>1.50545</v>
      </c>
      <c r="F54" s="73">
        <v>0.67957000000000001</v>
      </c>
      <c r="G54" s="73">
        <v>1.25651</v>
      </c>
      <c r="H54" s="74">
        <v>1.933E-2</v>
      </c>
      <c r="I54" s="74">
        <v>0.15397</v>
      </c>
      <c r="J54" s="73">
        <v>0.85451999999999995</v>
      </c>
      <c r="K54" s="74">
        <v>0.68357000000000001</v>
      </c>
      <c r="L54" s="74">
        <v>0.42686000000000002</v>
      </c>
      <c r="M54" s="75">
        <f t="shared" si="13"/>
        <v>0.68984091744999998</v>
      </c>
      <c r="N54" s="76">
        <v>423.20792545454543</v>
      </c>
      <c r="O54" s="77">
        <v>353.35449</v>
      </c>
      <c r="T54" s="68">
        <f t="shared" si="0"/>
        <v>-0.6</v>
      </c>
      <c r="U54" s="69">
        <f t="shared" si="1"/>
        <v>-0.3</v>
      </c>
      <c r="V54" s="70">
        <f t="shared" si="14"/>
        <v>0.05</v>
      </c>
      <c r="W54" s="71">
        <f t="shared" si="15"/>
        <v>0.30474141159371593</v>
      </c>
      <c r="X54" s="63">
        <f t="shared" si="16"/>
        <v>0.13756227113271216</v>
      </c>
      <c r="Y54" s="73">
        <f t="shared" si="17"/>
        <v>0.25434961711223886</v>
      </c>
      <c r="Z54" s="74">
        <f t="shared" si="18"/>
        <v>3.9128841782234743E-3</v>
      </c>
      <c r="AA54" s="74">
        <f t="shared" si="19"/>
        <v>3.1167448366325311E-2</v>
      </c>
      <c r="AB54" s="73">
        <f t="shared" si="20"/>
        <v>0.17297660568937004</v>
      </c>
      <c r="AC54" s="74">
        <f t="shared" si="21"/>
        <v>0.13837197298024936</v>
      </c>
      <c r="AD54" s="74">
        <f t="shared" si="22"/>
        <v>8.6407332659931307E-2</v>
      </c>
      <c r="AE54" s="75">
        <f t="shared" si="10"/>
        <v>2.8266968079833348E-2</v>
      </c>
      <c r="AF54" s="76">
        <f t="shared" si="23"/>
        <v>23.229836005097173</v>
      </c>
      <c r="AG54" s="77">
        <f t="shared" si="24"/>
        <v>19.395588694490005</v>
      </c>
    </row>
    <row r="55" spans="1:33" x14ac:dyDescent="0.2">
      <c r="A55" s="2"/>
      <c r="B55" s="68">
        <v>-120</v>
      </c>
      <c r="C55" s="69">
        <v>60</v>
      </c>
      <c r="D55" s="70">
        <v>10</v>
      </c>
      <c r="E55" s="71">
        <v>1.5396799999999999</v>
      </c>
      <c r="F55" s="73">
        <v>0.66949000000000003</v>
      </c>
      <c r="G55" s="73">
        <v>1.2890999999999999</v>
      </c>
      <c r="H55" s="74">
        <v>3.3189999999999997E-2</v>
      </c>
      <c r="I55" s="74">
        <v>0.16878000000000001</v>
      </c>
      <c r="J55" s="73">
        <v>0.85006000000000004</v>
      </c>
      <c r="K55" s="74">
        <v>0.71487000000000001</v>
      </c>
      <c r="L55" s="74">
        <v>0.41760000000000003</v>
      </c>
      <c r="M55" s="75">
        <f t="shared" si="13"/>
        <v>0.70401544025000007</v>
      </c>
      <c r="N55" s="76">
        <v>257.64809090909091</v>
      </c>
      <c r="O55" s="77">
        <v>329.98343</v>
      </c>
      <c r="T55" s="68">
        <f t="shared" si="0"/>
        <v>-0.6</v>
      </c>
      <c r="U55" s="69">
        <f t="shared" si="1"/>
        <v>0.3</v>
      </c>
      <c r="V55" s="70">
        <f t="shared" si="14"/>
        <v>0.05</v>
      </c>
      <c r="W55" s="71">
        <f t="shared" si="15"/>
        <v>0.31167043515401543</v>
      </c>
      <c r="X55" s="63">
        <f t="shared" si="16"/>
        <v>0.13552182247691846</v>
      </c>
      <c r="Y55" s="73">
        <f t="shared" si="17"/>
        <v>0.26094666291504809</v>
      </c>
      <c r="Z55" s="74">
        <f t="shared" si="18"/>
        <v>6.7185010799398395E-3</v>
      </c>
      <c r="AA55" s="74">
        <f t="shared" si="19"/>
        <v>3.4165369456831761E-2</v>
      </c>
      <c r="AB55" s="73">
        <f t="shared" si="20"/>
        <v>0.17207378812936608</v>
      </c>
      <c r="AC55" s="74">
        <f t="shared" si="21"/>
        <v>0.14470788993722788</v>
      </c>
      <c r="AD55" s="74">
        <f t="shared" si="22"/>
        <v>8.4532872882882706E-2</v>
      </c>
      <c r="AE55" s="75">
        <f t="shared" si="10"/>
        <v>2.8847784284554218E-2</v>
      </c>
      <c r="AF55" s="76">
        <f t="shared" si="23"/>
        <v>14.142275082434345</v>
      </c>
      <c r="AG55" s="77">
        <f t="shared" si="24"/>
        <v>18.112753807874448</v>
      </c>
    </row>
    <row r="56" spans="1:33" x14ac:dyDescent="0.2">
      <c r="A56" s="2"/>
      <c r="B56" s="68">
        <v>-90</v>
      </c>
      <c r="C56" s="69">
        <v>-60</v>
      </c>
      <c r="D56" s="70">
        <v>10</v>
      </c>
      <c r="E56" s="71">
        <v>1.46167</v>
      </c>
      <c r="F56" s="73">
        <v>0.70677000000000001</v>
      </c>
      <c r="G56" s="73">
        <v>1.27254</v>
      </c>
      <c r="H56" s="74">
        <v>-3.9030000000000002E-2</v>
      </c>
      <c r="I56" s="74">
        <v>0.10849</v>
      </c>
      <c r="J56" s="73">
        <v>0.82772999999999997</v>
      </c>
      <c r="K56" s="74">
        <v>0.43981999999999999</v>
      </c>
      <c r="L56" s="74">
        <v>0.36659000000000003</v>
      </c>
      <c r="M56" s="75">
        <f t="shared" si="13"/>
        <v>0.50648340670000003</v>
      </c>
      <c r="N56" s="76">
        <v>403.13154090909092</v>
      </c>
      <c r="O56" s="77">
        <v>292.48889000000003</v>
      </c>
      <c r="T56" s="68">
        <f t="shared" si="0"/>
        <v>-0.45</v>
      </c>
      <c r="U56" s="69">
        <f t="shared" si="1"/>
        <v>-0.3</v>
      </c>
      <c r="V56" s="70">
        <f t="shared" si="14"/>
        <v>0.05</v>
      </c>
      <c r="W56" s="71">
        <f t="shared" si="15"/>
        <v>0.29587922487242135</v>
      </c>
      <c r="X56" s="63">
        <f t="shared" si="16"/>
        <v>0.14306824369596507</v>
      </c>
      <c r="Y56" s="73">
        <f t="shared" si="17"/>
        <v>0.25759449726624417</v>
      </c>
      <c r="Z56" s="74">
        <f t="shared" si="18"/>
        <v>-7.9006657773441381E-3</v>
      </c>
      <c r="AA56" s="74">
        <f t="shared" si="19"/>
        <v>2.1961138359827454E-2</v>
      </c>
      <c r="AB56" s="73">
        <f t="shared" si="20"/>
        <v>0.16755362756548969</v>
      </c>
      <c r="AC56" s="74">
        <f t="shared" si="21"/>
        <v>8.9030766645951803E-2</v>
      </c>
      <c r="AD56" s="74">
        <f t="shared" si="22"/>
        <v>7.420715007216469E-2</v>
      </c>
      <c r="AE56" s="75">
        <f t="shared" si="10"/>
        <v>2.0753698320876767E-2</v>
      </c>
      <c r="AF56" s="76">
        <f t="shared" si="23"/>
        <v>22.127845488106569</v>
      </c>
      <c r="AG56" s="77">
        <f t="shared" si="24"/>
        <v>16.054682673334447</v>
      </c>
    </row>
    <row r="57" spans="1:33" x14ac:dyDescent="0.2">
      <c r="A57" s="2"/>
      <c r="B57" s="68">
        <v>-90</v>
      </c>
      <c r="C57" s="69">
        <v>60</v>
      </c>
      <c r="D57" s="70">
        <v>10</v>
      </c>
      <c r="E57" s="71">
        <v>1.4690799999999999</v>
      </c>
      <c r="F57" s="73">
        <v>0.70738000000000001</v>
      </c>
      <c r="G57" s="73">
        <v>1.26441</v>
      </c>
      <c r="H57" s="74">
        <v>-4.3040000000000002E-2</v>
      </c>
      <c r="I57" s="74">
        <v>0.10915</v>
      </c>
      <c r="J57" s="73">
        <v>0.84792999999999996</v>
      </c>
      <c r="K57" s="74">
        <v>0.44588</v>
      </c>
      <c r="L57" s="74">
        <v>0.35974</v>
      </c>
      <c r="M57" s="75">
        <f t="shared" si="13"/>
        <v>0.52360356344999992</v>
      </c>
      <c r="N57" s="76">
        <v>255.52803818181815</v>
      </c>
      <c r="O57" s="77">
        <v>265.67448000000002</v>
      </c>
      <c r="T57" s="68">
        <f t="shared" si="0"/>
        <v>-0.45</v>
      </c>
      <c r="U57" s="69">
        <f t="shared" si="1"/>
        <v>0.3</v>
      </c>
      <c r="V57" s="70">
        <f t="shared" si="14"/>
        <v>0.05</v>
      </c>
      <c r="W57" s="71">
        <f t="shared" si="15"/>
        <v>0.29737919754498399</v>
      </c>
      <c r="X57" s="63">
        <f t="shared" si="16"/>
        <v>0.14319172322771448</v>
      </c>
      <c r="Y57" s="73">
        <f t="shared" si="17"/>
        <v>0.25594877826112483</v>
      </c>
      <c r="Z57" s="74">
        <f t="shared" si="18"/>
        <v>-8.7123918795001722E-3</v>
      </c>
      <c r="AA57" s="74">
        <f t="shared" si="19"/>
        <v>2.2094739164671091E-2</v>
      </c>
      <c r="AB57" s="73">
        <f t="shared" si="20"/>
        <v>0.17164262189555252</v>
      </c>
      <c r="AC57" s="74">
        <f t="shared" si="21"/>
        <v>9.0257464944970639E-2</v>
      </c>
      <c r="AD57" s="74">
        <f t="shared" si="22"/>
        <v>7.2820535658257246E-2</v>
      </c>
      <c r="AE57" s="75">
        <f t="shared" si="10"/>
        <v>2.145521502151386E-2</v>
      </c>
      <c r="AF57" s="76">
        <f t="shared" si="23"/>
        <v>14.025905623795758</v>
      </c>
      <c r="AG57" s="77">
        <f t="shared" si="24"/>
        <v>14.582842687813336</v>
      </c>
    </row>
    <row r="58" spans="1:33" x14ac:dyDescent="0.2">
      <c r="A58" s="2"/>
      <c r="B58" s="68">
        <v>-50</v>
      </c>
      <c r="C58" s="69">
        <v>-60</v>
      </c>
      <c r="D58" s="70">
        <v>10</v>
      </c>
      <c r="E58" s="71">
        <v>1.3987499999999999</v>
      </c>
      <c r="F58" s="73">
        <v>0.69572000000000001</v>
      </c>
      <c r="G58" s="73">
        <v>1.1760900000000001</v>
      </c>
      <c r="H58" s="74">
        <v>-1.7059999999999999E-2</v>
      </c>
      <c r="I58" s="74">
        <v>8.4779999999999994E-2</v>
      </c>
      <c r="J58" s="73">
        <v>0.85640000000000005</v>
      </c>
      <c r="K58" s="74">
        <v>0.51151000000000002</v>
      </c>
      <c r="L58" s="74">
        <v>0.31204999999999999</v>
      </c>
      <c r="M58" s="75">
        <f t="shared" si="13"/>
        <v>0.54621932130000006</v>
      </c>
      <c r="N58" s="76">
        <v>302.24601818181816</v>
      </c>
      <c r="O58" s="77">
        <v>212.04427999999999</v>
      </c>
      <c r="T58" s="68">
        <f t="shared" si="0"/>
        <v>-0.25</v>
      </c>
      <c r="U58" s="69">
        <f t="shared" si="1"/>
        <v>-0.3</v>
      </c>
      <c r="V58" s="70">
        <f t="shared" si="14"/>
        <v>0.05</v>
      </c>
      <c r="W58" s="71">
        <f t="shared" si="15"/>
        <v>0.28314261481066133</v>
      </c>
      <c r="X58" s="63">
        <f t="shared" si="16"/>
        <v>0.14083144234214356</v>
      </c>
      <c r="Y58" s="73">
        <f t="shared" si="17"/>
        <v>0.23807056146750366</v>
      </c>
      <c r="Z58" s="74">
        <f t="shared" si="18"/>
        <v>-3.4533783797461178E-3</v>
      </c>
      <c r="AA58" s="74">
        <f t="shared" si="19"/>
        <v>1.7161630658550756E-2</v>
      </c>
      <c r="AB58" s="73">
        <f t="shared" si="20"/>
        <v>0.17335716555771252</v>
      </c>
      <c r="AC58" s="74">
        <f t="shared" si="21"/>
        <v>0.1035426480084371</v>
      </c>
      <c r="AD58" s="74">
        <f t="shared" si="22"/>
        <v>6.3166865380995085E-2</v>
      </c>
      <c r="AE58" s="75">
        <f t="shared" si="10"/>
        <v>2.2381919844432007E-2</v>
      </c>
      <c r="AF58" s="76">
        <f t="shared" si="23"/>
        <v>16.590250355109092</v>
      </c>
      <c r="AG58" s="77">
        <f t="shared" si="24"/>
        <v>11.639086968724445</v>
      </c>
    </row>
    <row r="59" spans="1:33" x14ac:dyDescent="0.2">
      <c r="A59" s="2"/>
      <c r="B59" s="68">
        <v>-50</v>
      </c>
      <c r="C59" s="69">
        <v>0</v>
      </c>
      <c r="D59" s="70">
        <v>10</v>
      </c>
      <c r="E59" s="71">
        <v>0.64854999999999996</v>
      </c>
      <c r="F59" s="73">
        <v>0.25890999999999997</v>
      </c>
      <c r="G59" s="73">
        <v>-0.40312999999999999</v>
      </c>
      <c r="H59" s="74">
        <v>-1.451E-2</v>
      </c>
      <c r="I59" s="74">
        <v>0.31158000000000002</v>
      </c>
      <c r="J59" s="73">
        <v>0.37467</v>
      </c>
      <c r="K59" s="74">
        <v>0.59126999999999996</v>
      </c>
      <c r="L59" s="74">
        <v>0.29441000000000001</v>
      </c>
      <c r="M59" s="75">
        <f t="shared" si="13"/>
        <v>0.28832753494999996</v>
      </c>
      <c r="N59" s="76">
        <v>273.42083181818185</v>
      </c>
      <c r="O59" s="77">
        <v>90.960369999999998</v>
      </c>
      <c r="T59" s="68">
        <f t="shared" si="0"/>
        <v>-0.25</v>
      </c>
      <c r="U59" s="69">
        <f t="shared" si="1"/>
        <v>0</v>
      </c>
      <c r="V59" s="70">
        <f t="shared" si="14"/>
        <v>0.05</v>
      </c>
      <c r="W59" s="71">
        <f t="shared" si="15"/>
        <v>0.13128303330506125</v>
      </c>
      <c r="X59" s="63">
        <f t="shared" si="16"/>
        <v>5.2409976336463507E-2</v>
      </c>
      <c r="Y59" s="73">
        <f t="shared" si="17"/>
        <v>-8.1603776449416923E-2</v>
      </c>
      <c r="Z59" s="74">
        <f t="shared" si="18"/>
        <v>-2.9371934519411592E-3</v>
      </c>
      <c r="AA59" s="74">
        <f t="shared" si="19"/>
        <v>6.3071725413909471E-2</v>
      </c>
      <c r="AB59" s="73">
        <f t="shared" si="20"/>
        <v>7.5842747804189814E-2</v>
      </c>
      <c r="AC59" s="74">
        <f t="shared" si="21"/>
        <v>0.11968810284832868</v>
      </c>
      <c r="AD59" s="74">
        <f t="shared" si="22"/>
        <v>5.959608023335608E-2</v>
      </c>
      <c r="AE59" s="75">
        <f t="shared" si="10"/>
        <v>1.1814528568551327E-2</v>
      </c>
      <c r="AF59" s="76">
        <f t="shared" si="23"/>
        <v>15.008039078407581</v>
      </c>
      <c r="AG59" s="77">
        <f t="shared" si="24"/>
        <v>4.9928046025922228</v>
      </c>
    </row>
    <row r="60" spans="1:33" x14ac:dyDescent="0.2">
      <c r="A60" s="2"/>
      <c r="B60" s="68">
        <v>-50</v>
      </c>
      <c r="C60" s="69">
        <v>60</v>
      </c>
      <c r="D60" s="70">
        <v>10</v>
      </c>
      <c r="E60" s="71">
        <v>1.41255</v>
      </c>
      <c r="F60" s="73">
        <v>0.68516999999999995</v>
      </c>
      <c r="G60" s="73">
        <v>1.1687399999999999</v>
      </c>
      <c r="H60" s="74">
        <v>-7.8399999999999997E-3</v>
      </c>
      <c r="I60" s="74">
        <v>9.9909999999999999E-2</v>
      </c>
      <c r="J60" s="73">
        <v>0.87524000000000002</v>
      </c>
      <c r="K60" s="74">
        <v>0.53774</v>
      </c>
      <c r="L60" s="74">
        <v>0.31276999999999999</v>
      </c>
      <c r="M60" s="75">
        <f t="shared" si="13"/>
        <v>0.57651721905000008</v>
      </c>
      <c r="N60" s="76">
        <v>231.40264636363636</v>
      </c>
      <c r="O60" s="77">
        <v>199.04152999999999</v>
      </c>
      <c r="T60" s="68">
        <f t="shared" si="0"/>
        <v>-0.25</v>
      </c>
      <c r="U60" s="69">
        <f t="shared" si="1"/>
        <v>0.3</v>
      </c>
      <c r="V60" s="70">
        <f t="shared" si="14"/>
        <v>0.05</v>
      </c>
      <c r="W60" s="71">
        <f t="shared" si="15"/>
        <v>0.28593608618466465</v>
      </c>
      <c r="X60" s="63">
        <f t="shared" si="16"/>
        <v>0.13869585371926421</v>
      </c>
      <c r="Y60" s="73">
        <f t="shared" si="17"/>
        <v>0.23658273432265403</v>
      </c>
      <c r="Z60" s="74">
        <f t="shared" si="18"/>
        <v>-1.5870156211728937E-3</v>
      </c>
      <c r="AA60" s="74">
        <f t="shared" si="19"/>
        <v>2.022432789686018E-2</v>
      </c>
      <c r="AB60" s="73">
        <f t="shared" si="20"/>
        <v>0.17717086125961271</v>
      </c>
      <c r="AC60" s="74">
        <f t="shared" si="21"/>
        <v>0.10885226787366223</v>
      </c>
      <c r="AD60" s="74">
        <f t="shared" si="22"/>
        <v>6.3312611713551778E-2</v>
      </c>
      <c r="AE60" s="75">
        <f t="shared" si="10"/>
        <v>2.3623408551351716E-2</v>
      </c>
      <c r="AF60" s="76">
        <f t="shared" si="23"/>
        <v>12.701665547494851</v>
      </c>
      <c r="AG60" s="77">
        <f t="shared" si="24"/>
        <v>10.925367465974446</v>
      </c>
    </row>
    <row r="61" spans="1:33" x14ac:dyDescent="0.2">
      <c r="A61" s="2"/>
      <c r="B61" s="68">
        <v>-30</v>
      </c>
      <c r="C61" s="69">
        <v>-180</v>
      </c>
      <c r="D61" s="70">
        <v>10</v>
      </c>
      <c r="E61" s="71">
        <v>1.35311</v>
      </c>
      <c r="F61" s="73">
        <v>0.67271999999999998</v>
      </c>
      <c r="G61" s="73">
        <v>1.0142599999999999</v>
      </c>
      <c r="H61" s="74">
        <v>6.9100000000000003E-3</v>
      </c>
      <c r="I61" s="74">
        <v>0.15346000000000001</v>
      </c>
      <c r="J61" s="73">
        <v>0.92261000000000004</v>
      </c>
      <c r="K61" s="74">
        <v>0.62839999999999996</v>
      </c>
      <c r="L61" s="74">
        <v>0.35407</v>
      </c>
      <c r="M61" s="75">
        <f t="shared" si="13"/>
        <v>0.68573066850000008</v>
      </c>
      <c r="N61" s="76">
        <v>25.605276153846152</v>
      </c>
      <c r="O61" s="77">
        <v>37.510599999999997</v>
      </c>
      <c r="T61" s="68">
        <f t="shared" si="0"/>
        <v>-0.15</v>
      </c>
      <c r="U61" s="69">
        <f t="shared" si="1"/>
        <v>-0.9</v>
      </c>
      <c r="V61" s="70">
        <f t="shared" si="14"/>
        <v>0.05</v>
      </c>
      <c r="W61" s="71">
        <f t="shared" si="15"/>
        <v>0.27390391673026204</v>
      </c>
      <c r="X61" s="63">
        <f t="shared" si="16"/>
        <v>0.13617565671880472</v>
      </c>
      <c r="Y61" s="73">
        <f t="shared" si="17"/>
        <v>0.20531204897076774</v>
      </c>
      <c r="Z61" s="74">
        <f t="shared" si="18"/>
        <v>1.3987599416204969E-3</v>
      </c>
      <c r="AA61" s="74">
        <f t="shared" si="19"/>
        <v>3.1064211380764324E-2</v>
      </c>
      <c r="AB61" s="73">
        <f t="shared" si="20"/>
        <v>0.18675975538907189</v>
      </c>
      <c r="AC61" s="74">
        <f t="shared" si="21"/>
        <v>0.12720416024809264</v>
      </c>
      <c r="AD61" s="74">
        <f t="shared" si="22"/>
        <v>7.1672783289373279E-2</v>
      </c>
      <c r="AE61" s="75">
        <f t="shared" si="10"/>
        <v>2.8098546240926933E-2</v>
      </c>
      <c r="AF61" s="76">
        <f t="shared" si="23"/>
        <v>1.4054707630539318</v>
      </c>
      <c r="AG61" s="77">
        <f t="shared" si="24"/>
        <v>2.0589526661555557</v>
      </c>
    </row>
    <row r="62" spans="1:33" x14ac:dyDescent="0.2">
      <c r="A62" s="2"/>
      <c r="B62" s="68">
        <v>-30</v>
      </c>
      <c r="C62" s="69">
        <v>-120</v>
      </c>
      <c r="D62" s="70">
        <v>10</v>
      </c>
      <c r="E62" s="71">
        <v>0.81203000000000003</v>
      </c>
      <c r="F62" s="73">
        <v>0.34989999999999999</v>
      </c>
      <c r="G62" s="73">
        <v>-0.53381000000000001</v>
      </c>
      <c r="H62" s="74">
        <v>5.271E-2</v>
      </c>
      <c r="I62" s="74">
        <v>0.17211000000000001</v>
      </c>
      <c r="J62" s="73">
        <v>0.49479000000000001</v>
      </c>
      <c r="K62" s="74">
        <v>0.61455000000000004</v>
      </c>
      <c r="L62" s="74">
        <v>0.34651999999999999</v>
      </c>
      <c r="M62" s="75">
        <f t="shared" si="13"/>
        <v>0.37128247850000001</v>
      </c>
      <c r="N62" s="76">
        <v>118.92215769230771</v>
      </c>
      <c r="O62" s="77">
        <v>105.23846</v>
      </c>
      <c r="T62" s="68">
        <f t="shared" si="0"/>
        <v>-0.15</v>
      </c>
      <c r="U62" s="69">
        <f t="shared" si="1"/>
        <v>-0.6</v>
      </c>
      <c r="V62" s="70">
        <f t="shared" si="14"/>
        <v>0.05</v>
      </c>
      <c r="W62" s="71">
        <f t="shared" si="15"/>
        <v>0.16437554781390623</v>
      </c>
      <c r="X62" s="63">
        <f t="shared" si="16"/>
        <v>7.0828669113315756E-2</v>
      </c>
      <c r="Y62" s="73">
        <f t="shared" si="17"/>
        <v>-0.10805673580845694</v>
      </c>
      <c r="Z62" s="74">
        <f t="shared" si="18"/>
        <v>1.066984609592133E-2</v>
      </c>
      <c r="AA62" s="74">
        <f t="shared" si="19"/>
        <v>3.4839446244906473E-2</v>
      </c>
      <c r="AB62" s="73">
        <f t="shared" si="20"/>
        <v>0.10015809428573165</v>
      </c>
      <c r="AC62" s="74">
        <f t="shared" si="21"/>
        <v>0.12440056760099515</v>
      </c>
      <c r="AD62" s="74">
        <f t="shared" si="22"/>
        <v>7.0144471052146828E-2</v>
      </c>
      <c r="AE62" s="75">
        <f t="shared" si="10"/>
        <v>1.5213695944792369E-2</v>
      </c>
      <c r="AF62" s="76">
        <f t="shared" si="23"/>
        <v>6.5276240221576947</v>
      </c>
      <c r="AG62" s="77">
        <f t="shared" si="24"/>
        <v>5.7765273762377793</v>
      </c>
    </row>
    <row r="63" spans="1:33" x14ac:dyDescent="0.2">
      <c r="A63" s="2"/>
      <c r="B63" s="68">
        <v>-30</v>
      </c>
      <c r="C63" s="69">
        <v>-60</v>
      </c>
      <c r="D63" s="70">
        <v>10</v>
      </c>
      <c r="E63" s="71">
        <v>1.3583000000000001</v>
      </c>
      <c r="F63" s="73">
        <v>0.67693000000000003</v>
      </c>
      <c r="G63" s="73">
        <v>1.0316099999999999</v>
      </c>
      <c r="H63" s="74">
        <v>-9.5200000000000007E-3</v>
      </c>
      <c r="I63" s="74">
        <v>0.13319</v>
      </c>
      <c r="J63" s="73">
        <v>0.93389</v>
      </c>
      <c r="K63" s="74">
        <v>0.64158999999999999</v>
      </c>
      <c r="L63" s="74">
        <v>0.35254999999999997</v>
      </c>
      <c r="M63" s="75">
        <f t="shared" si="13"/>
        <v>0.70403988135000006</v>
      </c>
      <c r="N63" s="76">
        <v>265.11810272727274</v>
      </c>
      <c r="O63" s="77">
        <v>187.39457999999999</v>
      </c>
      <c r="T63" s="68">
        <f t="shared" si="0"/>
        <v>-0.15</v>
      </c>
      <c r="U63" s="69">
        <f t="shared" si="1"/>
        <v>-0.3</v>
      </c>
      <c r="V63" s="70">
        <f t="shared" si="14"/>
        <v>0.05</v>
      </c>
      <c r="W63" s="71">
        <f t="shared" si="15"/>
        <v>0.27495450487744155</v>
      </c>
      <c r="X63" s="63">
        <f t="shared" si="16"/>
        <v>0.13702786791333763</v>
      </c>
      <c r="Y63" s="73">
        <f t="shared" si="17"/>
        <v>0.20882413073446029</v>
      </c>
      <c r="Z63" s="74">
        <f t="shared" si="18"/>
        <v>-1.9270903971385139E-3</v>
      </c>
      <c r="AA63" s="74">
        <f t="shared" si="19"/>
        <v>2.6961047268369606E-2</v>
      </c>
      <c r="AB63" s="73">
        <f t="shared" si="20"/>
        <v>0.18904311459912676</v>
      </c>
      <c r="AC63" s="74">
        <f t="shared" si="21"/>
        <v>0.12987415209034653</v>
      </c>
      <c r="AD63" s="74">
        <f t="shared" si="22"/>
        <v>7.1365096587309135E-2</v>
      </c>
      <c r="AE63" s="75">
        <f t="shared" si="10"/>
        <v>2.8848785784720502E-2</v>
      </c>
      <c r="AF63" s="76">
        <f t="shared" si="23"/>
        <v>14.552303201133034</v>
      </c>
      <c r="AG63" s="77">
        <f t="shared" si="24"/>
        <v>10.286067674580002</v>
      </c>
    </row>
    <row r="64" spans="1:33" x14ac:dyDescent="0.2">
      <c r="A64" s="2"/>
      <c r="B64" s="68">
        <v>-30</v>
      </c>
      <c r="C64" s="69">
        <v>0</v>
      </c>
      <c r="D64" s="70">
        <v>10</v>
      </c>
      <c r="E64" s="71">
        <v>0.78864999999999996</v>
      </c>
      <c r="F64" s="73">
        <v>0.34490999999999999</v>
      </c>
      <c r="G64" s="73">
        <v>-0.51393999999999995</v>
      </c>
      <c r="H64" s="74">
        <v>8.4889999999999993E-2</v>
      </c>
      <c r="I64" s="74">
        <v>0.17407</v>
      </c>
      <c r="J64" s="73">
        <v>0.48387000000000002</v>
      </c>
      <c r="K64" s="74">
        <v>0.59543000000000001</v>
      </c>
      <c r="L64" s="74">
        <v>0.3422</v>
      </c>
      <c r="M64" s="75">
        <f t="shared" si="13"/>
        <v>0.35288395090000002</v>
      </c>
      <c r="N64" s="76">
        <v>253.3107572727273</v>
      </c>
      <c r="O64" s="77">
        <v>106.06367</v>
      </c>
      <c r="T64" s="68">
        <f t="shared" si="0"/>
        <v>-0.15</v>
      </c>
      <c r="U64" s="69">
        <f t="shared" si="1"/>
        <v>0</v>
      </c>
      <c r="V64" s="70">
        <f t="shared" si="14"/>
        <v>0.05</v>
      </c>
      <c r="W64" s="71">
        <f t="shared" si="15"/>
        <v>0.15964284051505134</v>
      </c>
      <c r="X64" s="63">
        <f t="shared" si="16"/>
        <v>6.981856605851311E-2</v>
      </c>
      <c r="Y64" s="73">
        <f t="shared" si="17"/>
        <v>-0.10403454188081593</v>
      </c>
      <c r="Z64" s="74">
        <f t="shared" si="18"/>
        <v>1.7183897459358027E-2</v>
      </c>
      <c r="AA64" s="74">
        <f t="shared" si="19"/>
        <v>3.5236200150199695E-2</v>
      </c>
      <c r="AB64" s="73">
        <f t="shared" si="20"/>
        <v>9.7947608241955114E-2</v>
      </c>
      <c r="AC64" s="74">
        <f t="shared" si="21"/>
        <v>0.12053019276976737</v>
      </c>
      <c r="AD64" s="74">
        <f t="shared" si="22"/>
        <v>6.9269993056806659E-2</v>
      </c>
      <c r="AE64" s="75">
        <f t="shared" si="10"/>
        <v>1.4459796633763419E-2</v>
      </c>
      <c r="AF64" s="76">
        <f t="shared" si="23"/>
        <v>13.904199321060307</v>
      </c>
      <c r="AG64" s="77">
        <f t="shared" si="24"/>
        <v>5.8218230614477786</v>
      </c>
    </row>
    <row r="65" spans="1:33" x14ac:dyDescent="0.2">
      <c r="A65" s="2"/>
      <c r="B65" s="68">
        <v>-30</v>
      </c>
      <c r="C65" s="69">
        <v>60</v>
      </c>
      <c r="D65" s="70">
        <v>10</v>
      </c>
      <c r="E65" s="71">
        <v>1.3949199999999999</v>
      </c>
      <c r="F65" s="73">
        <v>0.68962000000000001</v>
      </c>
      <c r="G65" s="73">
        <v>1.07846</v>
      </c>
      <c r="H65" s="74">
        <v>-5.6699999999999997E-3</v>
      </c>
      <c r="I65" s="74">
        <v>0.13269</v>
      </c>
      <c r="J65" s="73">
        <v>0.93867999999999996</v>
      </c>
      <c r="K65" s="74">
        <v>0.66834000000000005</v>
      </c>
      <c r="L65" s="74">
        <v>0.35646</v>
      </c>
      <c r="M65" s="75">
        <f t="shared" si="13"/>
        <v>0.7274311148</v>
      </c>
      <c r="N65" s="76">
        <v>190.90592636363635</v>
      </c>
      <c r="O65" s="77">
        <v>163.77638999999999</v>
      </c>
      <c r="T65" s="68">
        <f t="shared" si="0"/>
        <v>-0.15</v>
      </c>
      <c r="U65" s="69">
        <f t="shared" si="1"/>
        <v>0.3</v>
      </c>
      <c r="V65" s="70">
        <f t="shared" si="14"/>
        <v>0.05</v>
      </c>
      <c r="W65" s="71">
        <f t="shared" si="15"/>
        <v>0.28236732529164449</v>
      </c>
      <c r="X65" s="63">
        <f t="shared" si="16"/>
        <v>0.13959664702464936</v>
      </c>
      <c r="Y65" s="73">
        <f t="shared" si="17"/>
        <v>0.21830776362373966</v>
      </c>
      <c r="Z65" s="74">
        <f t="shared" si="18"/>
        <v>-1.1477523688839678E-3</v>
      </c>
      <c r="AA65" s="74">
        <f t="shared" si="19"/>
        <v>2.6859834537427459E-2</v>
      </c>
      <c r="AB65" s="73">
        <f t="shared" si="20"/>
        <v>0.19001273256155252</v>
      </c>
      <c r="AC65" s="74">
        <f t="shared" si="21"/>
        <v>0.1352890331957515</v>
      </c>
      <c r="AD65" s="74">
        <f t="shared" si="22"/>
        <v>7.215658014327675E-2</v>
      </c>
      <c r="AE65" s="75">
        <f t="shared" si="10"/>
        <v>2.9807266548261182E-2</v>
      </c>
      <c r="AF65" s="76">
        <f t="shared" si="23"/>
        <v>10.478805086330405</v>
      </c>
      <c r="AG65" s="77">
        <f t="shared" si="24"/>
        <v>8.9896678497233342</v>
      </c>
    </row>
    <row r="66" spans="1:33" x14ac:dyDescent="0.2">
      <c r="A66" s="2"/>
      <c r="B66" s="68">
        <v>-30</v>
      </c>
      <c r="C66" s="69">
        <v>120</v>
      </c>
      <c r="D66" s="70">
        <v>10</v>
      </c>
      <c r="E66" s="71">
        <v>0.85116000000000003</v>
      </c>
      <c r="F66" s="73">
        <v>0.36858999999999997</v>
      </c>
      <c r="G66" s="73">
        <v>-0.56411999999999995</v>
      </c>
      <c r="H66" s="74">
        <v>0.14065</v>
      </c>
      <c r="I66" s="74">
        <v>0.17582999999999999</v>
      </c>
      <c r="J66" s="73">
        <v>0.52588999999999997</v>
      </c>
      <c r="K66" s="74">
        <v>0.60977999999999999</v>
      </c>
      <c r="L66" s="74">
        <v>0.35433999999999999</v>
      </c>
      <c r="M66" s="75">
        <f t="shared" si="13"/>
        <v>0.38697438805000001</v>
      </c>
      <c r="N66" s="76">
        <v>56.944199230769236</v>
      </c>
      <c r="O66" s="77">
        <v>66.350170000000006</v>
      </c>
      <c r="T66" s="68">
        <f t="shared" si="0"/>
        <v>-0.15</v>
      </c>
      <c r="U66" s="69">
        <f t="shared" si="1"/>
        <v>0.6</v>
      </c>
      <c r="V66" s="70">
        <f t="shared" si="14"/>
        <v>0.05</v>
      </c>
      <c r="W66" s="71">
        <f t="shared" si="15"/>
        <v>0.1722964561374388</v>
      </c>
      <c r="X66" s="63">
        <f t="shared" si="16"/>
        <v>7.4612000995933278E-2</v>
      </c>
      <c r="Y66" s="73">
        <f t="shared" si="17"/>
        <v>-0.11419225155816999</v>
      </c>
      <c r="Z66" s="74">
        <f t="shared" si="18"/>
        <v>2.8471141214026465E-2</v>
      </c>
      <c r="AA66" s="74">
        <f t="shared" si="19"/>
        <v>3.5592468963116054E-2</v>
      </c>
      <c r="AB66" s="73">
        <f t="shared" si="20"/>
        <v>0.10645352615033329</v>
      </c>
      <c r="AC66" s="74">
        <f t="shared" si="21"/>
        <v>0.12343499814780703</v>
      </c>
      <c r="AD66" s="74">
        <f t="shared" si="22"/>
        <v>7.172743816408203E-2</v>
      </c>
      <c r="AE66" s="75">
        <f t="shared" si="10"/>
        <v>1.5856688691585519E-2</v>
      </c>
      <c r="AF66" s="76">
        <f t="shared" si="23"/>
        <v>3.1256607686436761</v>
      </c>
      <c r="AG66" s="77">
        <f t="shared" si="24"/>
        <v>3.64195345905889</v>
      </c>
    </row>
    <row r="67" spans="1:33" x14ac:dyDescent="0.2">
      <c r="A67" s="2"/>
      <c r="B67" s="68">
        <v>-30</v>
      </c>
      <c r="C67" s="69">
        <v>180</v>
      </c>
      <c r="D67" s="70">
        <v>10</v>
      </c>
      <c r="E67" s="71">
        <v>1.3921399999999999</v>
      </c>
      <c r="F67" s="73">
        <v>0.69637000000000004</v>
      </c>
      <c r="G67" s="73">
        <v>1.02284</v>
      </c>
      <c r="H67" s="74">
        <v>6.037E-2</v>
      </c>
      <c r="I67" s="74">
        <v>0.15062999999999999</v>
      </c>
      <c r="J67" s="73">
        <v>0.95221999999999996</v>
      </c>
      <c r="K67" s="74">
        <v>0.70013999999999998</v>
      </c>
      <c r="L67" s="74">
        <v>0.36579</v>
      </c>
      <c r="M67" s="75">
        <f t="shared" si="13"/>
        <v>0.76536063604999993</v>
      </c>
      <c r="N67" s="76">
        <v>10.649075000000003</v>
      </c>
      <c r="O67" s="77">
        <v>24.944929999999999</v>
      </c>
      <c r="T67" s="68">
        <f t="shared" si="0"/>
        <v>-0.15</v>
      </c>
      <c r="U67" s="69">
        <f t="shared" si="1"/>
        <v>0.9</v>
      </c>
      <c r="V67" s="70">
        <f t="shared" si="14"/>
        <v>0.05</v>
      </c>
      <c r="W67" s="71">
        <f t="shared" si="15"/>
        <v>0.28180458250760615</v>
      </c>
      <c r="X67" s="63">
        <f t="shared" si="16"/>
        <v>0.14096301889236837</v>
      </c>
      <c r="Y67" s="73">
        <f t="shared" si="17"/>
        <v>0.20704885943373502</v>
      </c>
      <c r="Z67" s="74">
        <f t="shared" si="18"/>
        <v>1.222042513395505E-2</v>
      </c>
      <c r="AA67" s="74">
        <f t="shared" si="19"/>
        <v>3.0491347323631755E-2</v>
      </c>
      <c r="AB67" s="73">
        <f t="shared" si="20"/>
        <v>0.19275357331546591</v>
      </c>
      <c r="AC67" s="74">
        <f t="shared" si="21"/>
        <v>0.14172616288367218</v>
      </c>
      <c r="AD67" s="74">
        <f t="shared" si="22"/>
        <v>7.4045209702657239E-2</v>
      </c>
      <c r="AE67" s="75">
        <f t="shared" si="10"/>
        <v>3.136146917576018E-2</v>
      </c>
      <c r="AF67" s="76">
        <f t="shared" si="23"/>
        <v>0.58452654351944477</v>
      </c>
      <c r="AG67" s="77">
        <f t="shared" si="24"/>
        <v>1.3692244360411114</v>
      </c>
    </row>
    <row r="68" spans="1:33" x14ac:dyDescent="0.2">
      <c r="A68" s="2"/>
      <c r="B68" s="68">
        <v>-10</v>
      </c>
      <c r="C68" s="69">
        <v>0</v>
      </c>
      <c r="D68" s="70">
        <v>10</v>
      </c>
      <c r="E68" s="71">
        <v>0.82774000000000003</v>
      </c>
      <c r="F68" s="73">
        <v>0.38013000000000002</v>
      </c>
      <c r="G68" s="73">
        <v>-0.40306999999999998</v>
      </c>
      <c r="H68" s="74">
        <v>0.15014</v>
      </c>
      <c r="I68" s="74">
        <v>-0.12175999999999999</v>
      </c>
      <c r="J68" s="73">
        <v>0.54420000000000002</v>
      </c>
      <c r="K68" s="74">
        <v>0.93235999999999997</v>
      </c>
      <c r="L68" s="74">
        <v>0.34172000000000002</v>
      </c>
      <c r="M68" s="75">
        <f t="shared" si="13"/>
        <v>0.64111068400000004</v>
      </c>
      <c r="N68" s="76">
        <v>236.38581454545454</v>
      </c>
      <c r="O68" s="77">
        <v>112.51609000000001</v>
      </c>
      <c r="T68" s="68">
        <f t="shared" ref="T68:T131" si="25">B68/200</f>
        <v>-0.05</v>
      </c>
      <c r="U68" s="69">
        <f t="shared" ref="U68:U131" si="26">C68/200</f>
        <v>0</v>
      </c>
      <c r="V68" s="70">
        <f t="shared" ref="V68:V131" si="27">D68/200</f>
        <v>0.05</v>
      </c>
      <c r="W68" s="71">
        <f t="shared" ref="W68:W99" si="28">E68/$R$8</f>
        <v>0.16755565182010856</v>
      </c>
      <c r="X68" s="63">
        <f t="shared" ref="X68:X99" si="29">F68/$R$8</f>
        <v>7.6947990826078075E-2</v>
      </c>
      <c r="Y68" s="73">
        <f t="shared" ref="Y68:Y99" si="30">G68/$R$8</f>
        <v>-8.1591630921703864E-2</v>
      </c>
      <c r="Z68" s="74">
        <f t="shared" ref="Z68:Z99" si="31">H68/$R$8</f>
        <v>3.0392158847308452E-2</v>
      </c>
      <c r="AA68" s="74">
        <f t="shared" ref="AA68:AA99" si="32">I68/$R$8</f>
        <v>-2.4647324239032084E-2</v>
      </c>
      <c r="AB68" s="73">
        <f t="shared" ref="AB68:AB99" si="33">J68/$R$8</f>
        <v>0.11015993635743479</v>
      </c>
      <c r="AC68" s="74">
        <f t="shared" ref="AC68:AC99" si="34">K68/$R$8</f>
        <v>0.18873340364244376</v>
      </c>
      <c r="AD68" s="74">
        <f t="shared" ref="AD68:AD99" si="35">L68/$R$8</f>
        <v>6.9172828835102201E-2</v>
      </c>
      <c r="AE68" s="75">
        <f t="shared" ref="AE68:AE131" si="36">M68/$R$8^2</f>
        <v>2.6270194738893023E-2</v>
      </c>
      <c r="AF68" s="76">
        <f t="shared" ref="AF68:AF99" si="37">N68/$R$11</f>
        <v>12.975191095309496</v>
      </c>
      <c r="AG68" s="77">
        <f t="shared" ref="AG68:AG99" si="38">O68/$R$11</f>
        <v>6.1759956783122236</v>
      </c>
    </row>
    <row r="69" spans="1:33" x14ac:dyDescent="0.2">
      <c r="A69" s="2"/>
      <c r="B69" s="68">
        <v>30</v>
      </c>
      <c r="C69" s="69">
        <v>-180</v>
      </c>
      <c r="D69" s="70">
        <v>10</v>
      </c>
      <c r="E69" s="71">
        <v>1.3706400000000001</v>
      </c>
      <c r="F69" s="73">
        <v>0.70362000000000002</v>
      </c>
      <c r="G69" s="73">
        <v>1.1476</v>
      </c>
      <c r="H69" s="74">
        <v>-2.911E-2</v>
      </c>
      <c r="I69" s="74">
        <v>9.912E-2</v>
      </c>
      <c r="J69" s="73">
        <v>0.83886000000000005</v>
      </c>
      <c r="K69" s="74">
        <v>0.42592999999999998</v>
      </c>
      <c r="L69" s="74">
        <v>0.37311</v>
      </c>
      <c r="M69" s="75">
        <f t="shared" ref="M69:M132" si="39">(J69^2+K69^2+L69^2)/2</f>
        <v>0.51215676830000001</v>
      </c>
      <c r="N69" s="76">
        <v>34.005773076923077</v>
      </c>
      <c r="O69" s="77">
        <v>42.115360000000003</v>
      </c>
      <c r="T69" s="68">
        <f t="shared" si="25"/>
        <v>0.15</v>
      </c>
      <c r="U69" s="69">
        <f t="shared" si="26"/>
        <v>-0.9</v>
      </c>
      <c r="V69" s="70">
        <f t="shared" si="27"/>
        <v>0.05</v>
      </c>
      <c r="W69" s="71">
        <f t="shared" si="28"/>
        <v>0.27745243507709377</v>
      </c>
      <c r="X69" s="63">
        <f t="shared" si="29"/>
        <v>0.14243060349102954</v>
      </c>
      <c r="Y69" s="73">
        <f t="shared" si="30"/>
        <v>0.23230346005842001</v>
      </c>
      <c r="Z69" s="74">
        <f t="shared" si="31"/>
        <v>-5.8926051954519051E-3</v>
      </c>
      <c r="AA69" s="74">
        <f t="shared" si="32"/>
        <v>2.0064411781971585E-2</v>
      </c>
      <c r="AB69" s="73">
        <f t="shared" si="33"/>
        <v>0.16980662295626195</v>
      </c>
      <c r="AC69" s="74">
        <f t="shared" si="34"/>
        <v>8.6219076980378895E-2</v>
      </c>
      <c r="AD69" s="74">
        <f t="shared" si="35"/>
        <v>7.5526964083650297E-2</v>
      </c>
      <c r="AE69" s="75">
        <f t="shared" si="36"/>
        <v>2.0986170369425808E-2</v>
      </c>
      <c r="AF69" s="76">
        <f t="shared" si="37"/>
        <v>1.8665731057730772</v>
      </c>
      <c r="AG69" s="77">
        <f t="shared" si="38"/>
        <v>2.3117074309155563</v>
      </c>
    </row>
    <row r="70" spans="1:33" x14ac:dyDescent="0.2">
      <c r="A70" s="2"/>
      <c r="B70" s="68">
        <v>30</v>
      </c>
      <c r="C70" s="69">
        <v>-60</v>
      </c>
      <c r="D70" s="70">
        <v>10</v>
      </c>
      <c r="E70" s="71">
        <v>1.4209000000000001</v>
      </c>
      <c r="F70" s="73">
        <v>0.70538000000000001</v>
      </c>
      <c r="G70" s="73">
        <v>1.21556</v>
      </c>
      <c r="H70" s="74">
        <v>-2.5350000000000001E-2</v>
      </c>
      <c r="I70" s="74">
        <v>7.0819999999999994E-2</v>
      </c>
      <c r="J70" s="73">
        <v>0.83892999999999995</v>
      </c>
      <c r="K70" s="74">
        <v>0.43597000000000002</v>
      </c>
      <c r="L70" s="74">
        <v>0.36275000000000002</v>
      </c>
      <c r="M70" s="75">
        <f t="shared" si="39"/>
        <v>0.51273047414999995</v>
      </c>
      <c r="N70" s="76">
        <v>219.01407454545455</v>
      </c>
      <c r="O70" s="77">
        <v>109.96338</v>
      </c>
      <c r="T70" s="68">
        <f t="shared" si="25"/>
        <v>0.15</v>
      </c>
      <c r="U70" s="69">
        <f t="shared" si="26"/>
        <v>-0.3</v>
      </c>
      <c r="V70" s="70">
        <f t="shared" si="27"/>
        <v>0.05</v>
      </c>
      <c r="W70" s="71">
        <f t="shared" si="28"/>
        <v>0.28762633879139859</v>
      </c>
      <c r="X70" s="63">
        <f t="shared" si="29"/>
        <v>0.14278687230394588</v>
      </c>
      <c r="Y70" s="73">
        <f t="shared" si="30"/>
        <v>0.24606029444807687</v>
      </c>
      <c r="Z70" s="74">
        <f t="shared" si="31"/>
        <v>-5.1314854587669462E-3</v>
      </c>
      <c r="AA70" s="74">
        <f t="shared" si="32"/>
        <v>1.433577121064596E-2</v>
      </c>
      <c r="AB70" s="73">
        <f t="shared" si="33"/>
        <v>0.16982079273859382</v>
      </c>
      <c r="AC70" s="74">
        <f t="shared" si="34"/>
        <v>8.8251428617697261E-2</v>
      </c>
      <c r="AD70" s="74">
        <f t="shared" si="35"/>
        <v>7.3429836298528978E-2</v>
      </c>
      <c r="AE70" s="75">
        <f t="shared" si="36"/>
        <v>2.100967857912886E-2</v>
      </c>
      <c r="AF70" s="76">
        <f t="shared" si="37"/>
        <v>12.02165821690283</v>
      </c>
      <c r="AG70" s="77">
        <f t="shared" si="38"/>
        <v>6.0358777100466678</v>
      </c>
    </row>
    <row r="71" spans="1:33" x14ac:dyDescent="0.2">
      <c r="A71" s="2"/>
      <c r="B71" s="68">
        <v>30</v>
      </c>
      <c r="C71" s="69">
        <v>60</v>
      </c>
      <c r="D71" s="70">
        <v>10</v>
      </c>
      <c r="E71" s="71">
        <v>1.4267099999999999</v>
      </c>
      <c r="F71" s="73">
        <v>0.72369000000000006</v>
      </c>
      <c r="G71" s="73">
        <v>1.2128300000000001</v>
      </c>
      <c r="H71" s="74">
        <v>-2.86E-2</v>
      </c>
      <c r="I71" s="74">
        <v>9.0529999999999999E-2</v>
      </c>
      <c r="J71" s="73">
        <v>0.85753999999999997</v>
      </c>
      <c r="K71" s="74">
        <v>0.44832</v>
      </c>
      <c r="L71" s="74">
        <v>0.36910999999999999</v>
      </c>
      <c r="M71" s="75">
        <f t="shared" si="39"/>
        <v>0.5363039330499999</v>
      </c>
      <c r="N71" s="76">
        <v>156.36836090909091</v>
      </c>
      <c r="O71" s="77">
        <v>109.58586</v>
      </c>
      <c r="T71" s="68">
        <f t="shared" si="25"/>
        <v>0.15</v>
      </c>
      <c r="U71" s="69">
        <f t="shared" si="26"/>
        <v>0.3</v>
      </c>
      <c r="V71" s="70">
        <f t="shared" si="27"/>
        <v>0.05</v>
      </c>
      <c r="W71" s="71">
        <f t="shared" si="28"/>
        <v>0.28880243072494632</v>
      </c>
      <c r="X71" s="63">
        <f t="shared" si="29"/>
        <v>0.1464932825110474</v>
      </c>
      <c r="Y71" s="73">
        <f t="shared" si="30"/>
        <v>0.24550767293713277</v>
      </c>
      <c r="Z71" s="74">
        <f t="shared" si="31"/>
        <v>-5.7893682098909133E-3</v>
      </c>
      <c r="AA71" s="74">
        <f t="shared" si="32"/>
        <v>1.8325577064385468E-2</v>
      </c>
      <c r="AB71" s="73">
        <f t="shared" si="33"/>
        <v>0.17358793058426061</v>
      </c>
      <c r="AC71" s="74">
        <f t="shared" si="34"/>
        <v>9.0751383071968325E-2</v>
      </c>
      <c r="AD71" s="74">
        <f t="shared" si="35"/>
        <v>7.4717262236113108E-2</v>
      </c>
      <c r="AE71" s="75">
        <f t="shared" si="36"/>
        <v>2.1975626225030655E-2</v>
      </c>
      <c r="AF71" s="76">
        <f t="shared" si="37"/>
        <v>8.5830419560376789</v>
      </c>
      <c r="AG71" s="77">
        <f t="shared" si="38"/>
        <v>6.0151556791933345</v>
      </c>
    </row>
    <row r="72" spans="1:33" x14ac:dyDescent="0.2">
      <c r="A72" s="2"/>
      <c r="B72" s="68">
        <v>30</v>
      </c>
      <c r="C72" s="69">
        <v>180</v>
      </c>
      <c r="D72" s="70">
        <v>10</v>
      </c>
      <c r="E72" s="71">
        <v>1.3813299999999999</v>
      </c>
      <c r="F72" s="73">
        <v>0.70062999999999998</v>
      </c>
      <c r="G72" s="73">
        <v>1.1446799999999999</v>
      </c>
      <c r="H72" s="74">
        <v>-2.3460000000000002E-2</v>
      </c>
      <c r="I72" s="74">
        <v>0.11451</v>
      </c>
      <c r="J72" s="73">
        <v>0.83996999999999999</v>
      </c>
      <c r="K72" s="74">
        <v>0.43615999999999999</v>
      </c>
      <c r="L72" s="74">
        <v>0.36985000000000001</v>
      </c>
      <c r="M72" s="75">
        <f t="shared" si="39"/>
        <v>0.51628708449999994</v>
      </c>
      <c r="N72" s="76">
        <v>10.815547692307696</v>
      </c>
      <c r="O72" s="77">
        <v>21.523540000000001</v>
      </c>
      <c r="T72" s="68">
        <f t="shared" si="25"/>
        <v>0.15</v>
      </c>
      <c r="U72" s="69">
        <f t="shared" si="26"/>
        <v>0.9</v>
      </c>
      <c r="V72" s="70">
        <f t="shared" si="27"/>
        <v>0.05</v>
      </c>
      <c r="W72" s="71">
        <f t="shared" si="28"/>
        <v>0.2796163632646369</v>
      </c>
      <c r="X72" s="63">
        <f t="shared" si="29"/>
        <v>0.14182535135999547</v>
      </c>
      <c r="Y72" s="73">
        <f t="shared" si="30"/>
        <v>0.23171237770971784</v>
      </c>
      <c r="Z72" s="74">
        <f t="shared" si="31"/>
        <v>-4.7489013358056236E-3</v>
      </c>
      <c r="AA72" s="74">
        <f t="shared" si="32"/>
        <v>2.3179739640370928E-2</v>
      </c>
      <c r="AB72" s="73">
        <f t="shared" si="33"/>
        <v>0.17003131521895351</v>
      </c>
      <c r="AC72" s="74">
        <f t="shared" si="34"/>
        <v>8.8289889455455267E-2</v>
      </c>
      <c r="AD72" s="74">
        <f t="shared" si="35"/>
        <v>7.4867057077907501E-2</v>
      </c>
      <c r="AE72" s="75">
        <f t="shared" si="36"/>
        <v>2.1155414485325149E-2</v>
      </c>
      <c r="AF72" s="76">
        <f t="shared" si="37"/>
        <v>0.59366421110324818</v>
      </c>
      <c r="AG72" s="77">
        <f t="shared" si="38"/>
        <v>1.1814247190955558</v>
      </c>
    </row>
    <row r="73" spans="1:33" x14ac:dyDescent="0.2">
      <c r="A73" s="2"/>
      <c r="B73" s="89">
        <v>70</v>
      </c>
      <c r="C73" s="90">
        <v>0</v>
      </c>
      <c r="D73" s="91">
        <v>10</v>
      </c>
      <c r="E73" s="92">
        <v>0.62949999999999995</v>
      </c>
      <c r="F73" s="93">
        <v>0.25069999999999998</v>
      </c>
      <c r="G73" s="93">
        <v>-0.36675000000000002</v>
      </c>
      <c r="H73" s="94">
        <v>-1.3690000000000001E-2</v>
      </c>
      <c r="I73" s="94">
        <v>0.30728</v>
      </c>
      <c r="J73" s="93">
        <v>0.36758999999999997</v>
      </c>
      <c r="K73" s="94">
        <v>0.61324000000000001</v>
      </c>
      <c r="L73" s="94">
        <v>0.29494999999999999</v>
      </c>
      <c r="M73" s="95">
        <f t="shared" si="39"/>
        <v>0.29909060409999999</v>
      </c>
      <c r="N73" s="96">
        <v>143.68605090909091</v>
      </c>
      <c r="O73" s="97">
        <v>44.607239999999997</v>
      </c>
      <c r="T73" s="68">
        <f t="shared" si="25"/>
        <v>0.35</v>
      </c>
      <c r="U73" s="69">
        <f t="shared" si="26"/>
        <v>0</v>
      </c>
      <c r="V73" s="70">
        <f t="shared" si="27"/>
        <v>0.05</v>
      </c>
      <c r="W73" s="71">
        <f t="shared" si="28"/>
        <v>0.12742682825616536</v>
      </c>
      <c r="X73" s="63">
        <f t="shared" si="29"/>
        <v>5.0748063294393422E-2</v>
      </c>
      <c r="Y73" s="73">
        <f t="shared" si="30"/>
        <v>-7.4239538146066181E-2</v>
      </c>
      <c r="Z73" s="74">
        <f t="shared" si="31"/>
        <v>-2.7712045731960351E-3</v>
      </c>
      <c r="AA73" s="74">
        <f t="shared" si="32"/>
        <v>6.2201295927806988E-2</v>
      </c>
      <c r="AB73" s="73">
        <f t="shared" si="33"/>
        <v>7.4409575534048977E-2</v>
      </c>
      <c r="AC73" s="74">
        <f t="shared" si="34"/>
        <v>0.12413539024592671</v>
      </c>
      <c r="AD73" s="74">
        <f t="shared" si="35"/>
        <v>5.9705389982773596E-2</v>
      </c>
      <c r="AE73" s="75">
        <f t="shared" si="36"/>
        <v>1.2255556817830469E-2</v>
      </c>
      <c r="AF73" s="76">
        <f t="shared" si="37"/>
        <v>7.8869113692832338</v>
      </c>
      <c r="AG73" s="77">
        <f t="shared" si="38"/>
        <v>2.4484864472400005</v>
      </c>
    </row>
    <row r="74" spans="1:33" x14ac:dyDescent="0.2">
      <c r="A74" s="2"/>
      <c r="B74" s="89">
        <v>90</v>
      </c>
      <c r="C74" s="90">
        <v>-180</v>
      </c>
      <c r="D74" s="91">
        <v>10</v>
      </c>
      <c r="E74" s="92">
        <v>1.3404100000000001</v>
      </c>
      <c r="F74" s="93">
        <v>0.65646000000000004</v>
      </c>
      <c r="G74" s="93">
        <v>1.0232600000000001</v>
      </c>
      <c r="H74" s="94">
        <v>-5.1589999999999997E-2</v>
      </c>
      <c r="I74" s="94">
        <v>0.13159000000000001</v>
      </c>
      <c r="J74" s="93">
        <v>0.90639999999999998</v>
      </c>
      <c r="K74" s="94">
        <v>0.65854000000000001</v>
      </c>
      <c r="L74" s="94">
        <v>0.35915000000000002</v>
      </c>
      <c r="M74" s="95">
        <f t="shared" si="39"/>
        <v>0.69211230704999993</v>
      </c>
      <c r="N74" s="96">
        <v>31.53595846153846</v>
      </c>
      <c r="O74" s="97">
        <v>33.523899999999998</v>
      </c>
      <c r="T74" s="68">
        <f t="shared" si="25"/>
        <v>0.45</v>
      </c>
      <c r="U74" s="69">
        <f t="shared" si="26"/>
        <v>-0.9</v>
      </c>
      <c r="V74" s="70">
        <f t="shared" si="27"/>
        <v>0.05</v>
      </c>
      <c r="W74" s="71">
        <f t="shared" si="28"/>
        <v>0.27133311336433147</v>
      </c>
      <c r="X74" s="63">
        <f t="shared" si="29"/>
        <v>0.13288421870856607</v>
      </c>
      <c r="Y74" s="73">
        <f t="shared" si="30"/>
        <v>0.20713387812772643</v>
      </c>
      <c r="Z74" s="74">
        <f t="shared" si="31"/>
        <v>-1.0443129578610917E-2</v>
      </c>
      <c r="AA74" s="74">
        <f t="shared" si="32"/>
        <v>2.6637166529354734E-2</v>
      </c>
      <c r="AB74" s="73">
        <f t="shared" si="33"/>
        <v>0.18347843865192739</v>
      </c>
      <c r="AC74" s="74">
        <f t="shared" si="34"/>
        <v>0.13330526366928538</v>
      </c>
      <c r="AD74" s="74">
        <f t="shared" si="35"/>
        <v>7.2701104635745514E-2</v>
      </c>
      <c r="AE74" s="75">
        <f t="shared" si="36"/>
        <v>2.8360040693672199E-2</v>
      </c>
      <c r="AF74" s="76">
        <f t="shared" si="37"/>
        <v>1.7310052559584617</v>
      </c>
      <c r="AG74" s="77">
        <f t="shared" si="38"/>
        <v>1.8401231461222225</v>
      </c>
    </row>
    <row r="75" spans="1:33" x14ac:dyDescent="0.2">
      <c r="A75" s="2"/>
      <c r="B75" s="89">
        <v>90</v>
      </c>
      <c r="C75" s="90">
        <v>-120</v>
      </c>
      <c r="D75" s="91">
        <v>10</v>
      </c>
      <c r="E75" s="92">
        <v>0.81225000000000003</v>
      </c>
      <c r="F75" s="93">
        <v>0.34993000000000002</v>
      </c>
      <c r="G75" s="93">
        <v>-0.50205999999999995</v>
      </c>
      <c r="H75" s="94">
        <v>-2.094E-2</v>
      </c>
      <c r="I75" s="94">
        <v>0.18812000000000001</v>
      </c>
      <c r="J75" s="93">
        <v>0.50736000000000003</v>
      </c>
      <c r="K75" s="94">
        <v>0.62568000000000001</v>
      </c>
      <c r="L75" s="94">
        <v>0.35508000000000001</v>
      </c>
      <c r="M75" s="95">
        <f t="shared" si="39"/>
        <v>0.38748571920000002</v>
      </c>
      <c r="N75" s="96">
        <v>90.136203076923081</v>
      </c>
      <c r="O75" s="97">
        <v>52.073970000000003</v>
      </c>
      <c r="T75" s="68">
        <f t="shared" si="25"/>
        <v>0.45</v>
      </c>
      <c r="U75" s="69">
        <f t="shared" si="26"/>
        <v>-0.6</v>
      </c>
      <c r="V75" s="70">
        <f t="shared" si="27"/>
        <v>0.05</v>
      </c>
      <c r="W75" s="71">
        <f t="shared" si="28"/>
        <v>0.16442008141552078</v>
      </c>
      <c r="X75" s="63">
        <f t="shared" si="29"/>
        <v>7.0834741877172286E-2</v>
      </c>
      <c r="Y75" s="73">
        <f t="shared" si="30"/>
        <v>-0.10162972739363048</v>
      </c>
      <c r="Z75" s="74">
        <f t="shared" si="31"/>
        <v>-4.2387891718571932E-3</v>
      </c>
      <c r="AA75" s="74">
        <f t="shared" si="32"/>
        <v>3.808027788967408E-2</v>
      </c>
      <c r="AB75" s="73">
        <f t="shared" si="33"/>
        <v>0.10270258234161728</v>
      </c>
      <c r="AC75" s="74">
        <f t="shared" si="34"/>
        <v>0.12665356299176736</v>
      </c>
      <c r="AD75" s="74">
        <f t="shared" si="35"/>
        <v>7.1877233005876423E-2</v>
      </c>
      <c r="AE75" s="75">
        <f t="shared" si="36"/>
        <v>1.5877641031363656E-2</v>
      </c>
      <c r="AF75" s="76">
        <f t="shared" si="37"/>
        <v>4.9475661717586332</v>
      </c>
      <c r="AG75" s="77">
        <f t="shared" si="38"/>
        <v>2.8583344273033342</v>
      </c>
    </row>
    <row r="76" spans="1:33" x14ac:dyDescent="0.2">
      <c r="A76" s="2"/>
      <c r="B76" s="89">
        <v>90</v>
      </c>
      <c r="C76" s="90">
        <v>-60</v>
      </c>
      <c r="D76" s="91">
        <v>10</v>
      </c>
      <c r="E76" s="92">
        <v>1.2933600000000001</v>
      </c>
      <c r="F76" s="93">
        <v>0.65415000000000001</v>
      </c>
      <c r="G76" s="93">
        <v>0.94121999999999995</v>
      </c>
      <c r="H76" s="94">
        <v>-1.8259999999999998E-2</v>
      </c>
      <c r="I76" s="94">
        <v>0.12207999999999999</v>
      </c>
      <c r="J76" s="93">
        <v>0.91617999999999999</v>
      </c>
      <c r="K76" s="94">
        <v>0.71094000000000002</v>
      </c>
      <c r="L76" s="94">
        <v>0.34974</v>
      </c>
      <c r="M76" s="95">
        <f t="shared" si="39"/>
        <v>0.73356977179999994</v>
      </c>
      <c r="N76" s="96">
        <v>165.45473818181819</v>
      </c>
      <c r="O76" s="97">
        <v>92.100040000000007</v>
      </c>
      <c r="T76" s="68">
        <f t="shared" si="25"/>
        <v>0.45</v>
      </c>
      <c r="U76" s="69">
        <f t="shared" si="26"/>
        <v>-0.3</v>
      </c>
      <c r="V76" s="70">
        <f t="shared" si="27"/>
        <v>0.05</v>
      </c>
      <c r="W76" s="71">
        <f t="shared" si="28"/>
        <v>0.26180899538267527</v>
      </c>
      <c r="X76" s="63">
        <f t="shared" si="29"/>
        <v>0.13241661589161333</v>
      </c>
      <c r="Y76" s="73">
        <f t="shared" si="30"/>
        <v>0.19052689323473865</v>
      </c>
      <c r="Z76" s="74">
        <f t="shared" si="31"/>
        <v>-3.696288934007275E-3</v>
      </c>
      <c r="AA76" s="74">
        <f t="shared" si="32"/>
        <v>2.4712100386835058E-2</v>
      </c>
      <c r="AB76" s="73">
        <f t="shared" si="33"/>
        <v>0.18545815966915583</v>
      </c>
      <c r="AC76" s="74">
        <f t="shared" si="34"/>
        <v>0.14391235787202258</v>
      </c>
      <c r="AD76" s="74">
        <f t="shared" si="35"/>
        <v>7.0796281039414266E-2</v>
      </c>
      <c r="AE76" s="75">
        <f t="shared" si="36"/>
        <v>3.0058804572583465E-2</v>
      </c>
      <c r="AF76" s="76">
        <f t="shared" si="37"/>
        <v>9.0817921949402045</v>
      </c>
      <c r="AG76" s="77">
        <f t="shared" si="38"/>
        <v>5.055360962262224</v>
      </c>
    </row>
    <row r="77" spans="1:33" x14ac:dyDescent="0.2">
      <c r="A77" s="2"/>
      <c r="B77" s="89">
        <v>90</v>
      </c>
      <c r="C77" s="90">
        <v>0</v>
      </c>
      <c r="D77" s="91">
        <v>10</v>
      </c>
      <c r="E77" s="92">
        <v>0.80666000000000004</v>
      </c>
      <c r="F77" s="93">
        <v>0.34693000000000002</v>
      </c>
      <c r="G77" s="93">
        <v>-0.53666000000000003</v>
      </c>
      <c r="H77" s="94">
        <v>1.417E-2</v>
      </c>
      <c r="I77" s="94">
        <v>0.18887000000000001</v>
      </c>
      <c r="J77" s="93">
        <v>0.4884</v>
      </c>
      <c r="K77" s="94">
        <v>0.62746000000000002</v>
      </c>
      <c r="L77" s="94">
        <v>0.33816000000000002</v>
      </c>
      <c r="M77" s="95">
        <f t="shared" si="39"/>
        <v>0.37329639860000002</v>
      </c>
      <c r="N77" s="96">
        <v>137.25108909090909</v>
      </c>
      <c r="O77" s="97">
        <v>53.773769999999999</v>
      </c>
      <c r="T77" s="68">
        <f t="shared" si="25"/>
        <v>0.45</v>
      </c>
      <c r="U77" s="69">
        <f t="shared" si="26"/>
        <v>0</v>
      </c>
      <c r="V77" s="70">
        <f t="shared" si="27"/>
        <v>0.05</v>
      </c>
      <c r="W77" s="71">
        <f t="shared" si="28"/>
        <v>0.16328852308358757</v>
      </c>
      <c r="X77" s="63">
        <f t="shared" si="29"/>
        <v>7.0227465491519397E-2</v>
      </c>
      <c r="Y77" s="73">
        <f t="shared" si="30"/>
        <v>-0.1086336483748272</v>
      </c>
      <c r="Z77" s="74">
        <f t="shared" si="31"/>
        <v>2.8683687949004979E-3</v>
      </c>
      <c r="AA77" s="74">
        <f t="shared" si="32"/>
        <v>3.8232096986087302E-2</v>
      </c>
      <c r="AB77" s="73">
        <f t="shared" si="33"/>
        <v>9.8864595584290976E-2</v>
      </c>
      <c r="AC77" s="74">
        <f t="shared" si="34"/>
        <v>0.12701388031392141</v>
      </c>
      <c r="AD77" s="74">
        <f t="shared" si="35"/>
        <v>6.8452194190794097E-2</v>
      </c>
      <c r="AE77" s="75">
        <f t="shared" si="36"/>
        <v>1.5296218470989375E-2</v>
      </c>
      <c r="AF77" s="76">
        <f t="shared" si="37"/>
        <v>7.5336970300789909</v>
      </c>
      <c r="AG77" s="77">
        <f t="shared" si="38"/>
        <v>2.951636260436667</v>
      </c>
    </row>
    <row r="78" spans="1:33" x14ac:dyDescent="0.2">
      <c r="A78" s="2"/>
      <c r="B78" s="89">
        <v>90</v>
      </c>
      <c r="C78" s="90">
        <v>60</v>
      </c>
      <c r="D78" s="91">
        <v>10</v>
      </c>
      <c r="E78" s="92">
        <v>1.2869900000000001</v>
      </c>
      <c r="F78" s="93">
        <v>0.65153000000000005</v>
      </c>
      <c r="G78" s="93">
        <v>0.90036000000000005</v>
      </c>
      <c r="H78" s="94">
        <v>1.307E-2</v>
      </c>
      <c r="I78" s="94">
        <v>0.11792</v>
      </c>
      <c r="J78" s="93">
        <v>0.93332000000000004</v>
      </c>
      <c r="K78" s="94">
        <v>0.68469999999999998</v>
      </c>
      <c r="L78" s="94">
        <v>0.36305999999999999</v>
      </c>
      <c r="M78" s="95">
        <f t="shared" si="39"/>
        <v>0.73585643800000011</v>
      </c>
      <c r="N78" s="96">
        <v>123.51777181818181</v>
      </c>
      <c r="O78" s="97">
        <v>79.60463</v>
      </c>
      <c r="T78" s="68">
        <f t="shared" si="25"/>
        <v>0.45</v>
      </c>
      <c r="U78" s="69">
        <f t="shared" si="26"/>
        <v>0.3</v>
      </c>
      <c r="V78" s="70">
        <f t="shared" si="27"/>
        <v>0.05</v>
      </c>
      <c r="W78" s="71">
        <f t="shared" si="28"/>
        <v>0.26051954519047227</v>
      </c>
      <c r="X78" s="63">
        <f t="shared" si="29"/>
        <v>0.13188626118147648</v>
      </c>
      <c r="Y78" s="73">
        <f t="shared" si="30"/>
        <v>0.18225578886214627</v>
      </c>
      <c r="Z78" s="74">
        <f t="shared" si="31"/>
        <v>2.6457007868277704E-3</v>
      </c>
      <c r="AA78" s="74">
        <f t="shared" si="32"/>
        <v>2.3870010465396382E-2</v>
      </c>
      <c r="AB78" s="73">
        <f t="shared" si="33"/>
        <v>0.1889277320858527</v>
      </c>
      <c r="AC78" s="74">
        <f t="shared" si="34"/>
        <v>0.13860071375217861</v>
      </c>
      <c r="AD78" s="74">
        <f t="shared" si="35"/>
        <v>7.3492588191713115E-2</v>
      </c>
      <c r="AE78" s="75">
        <f t="shared" si="36"/>
        <v>3.0152503161416915E-2</v>
      </c>
      <c r="AF78" s="76">
        <f t="shared" si="37"/>
        <v>6.7798767709031322</v>
      </c>
      <c r="AG78" s="77">
        <f t="shared" si="38"/>
        <v>4.3694892957411122</v>
      </c>
    </row>
    <row r="79" spans="1:33" x14ac:dyDescent="0.2">
      <c r="A79" s="2"/>
      <c r="B79" s="89">
        <v>90</v>
      </c>
      <c r="C79" s="90">
        <v>120</v>
      </c>
      <c r="D79" s="91">
        <v>10</v>
      </c>
      <c r="E79" s="92">
        <v>0.81511</v>
      </c>
      <c r="F79" s="93">
        <v>0.35504999999999998</v>
      </c>
      <c r="G79" s="93">
        <v>-0.52168000000000003</v>
      </c>
      <c r="H79" s="94">
        <v>6.8000000000000005E-2</v>
      </c>
      <c r="I79" s="94">
        <v>0.20107</v>
      </c>
      <c r="J79" s="93">
        <v>0.50900999999999996</v>
      </c>
      <c r="K79" s="94">
        <v>0.64209000000000005</v>
      </c>
      <c r="L79" s="94">
        <v>0.36210999999999999</v>
      </c>
      <c r="M79" s="95">
        <f t="shared" si="39"/>
        <v>0.40124720014999998</v>
      </c>
      <c r="N79" s="96">
        <v>50.826839230769224</v>
      </c>
      <c r="O79" s="97">
        <v>43.702440000000003</v>
      </c>
      <c r="T79" s="68">
        <f t="shared" si="25"/>
        <v>0.45</v>
      </c>
      <c r="U79" s="69">
        <f t="shared" si="26"/>
        <v>0.6</v>
      </c>
      <c r="V79" s="70">
        <f t="shared" si="27"/>
        <v>0.05</v>
      </c>
      <c r="W79" s="71">
        <f t="shared" si="28"/>
        <v>0.16499901823650986</v>
      </c>
      <c r="X79" s="63">
        <f t="shared" si="29"/>
        <v>7.187116024201988E-2</v>
      </c>
      <c r="Y79" s="73">
        <f t="shared" si="30"/>
        <v>-0.10560131495580041</v>
      </c>
      <c r="Z79" s="74">
        <f t="shared" si="31"/>
        <v>1.3764931408132243E-2</v>
      </c>
      <c r="AA79" s="74">
        <f t="shared" si="32"/>
        <v>4.0701687621075733E-2</v>
      </c>
      <c r="AB79" s="73">
        <f t="shared" si="33"/>
        <v>0.10303658435372635</v>
      </c>
      <c r="AC79" s="74">
        <f t="shared" si="34"/>
        <v>0.12997536482128871</v>
      </c>
      <c r="AD79" s="74">
        <f t="shared" si="35"/>
        <v>7.330028400292303E-2</v>
      </c>
      <c r="AE79" s="75">
        <f t="shared" si="36"/>
        <v>1.6441532405309416E-2</v>
      </c>
      <c r="AF79" s="76">
        <f t="shared" si="37"/>
        <v>2.7898795579503419</v>
      </c>
      <c r="AG79" s="77">
        <f t="shared" si="38"/>
        <v>2.3988220757733338</v>
      </c>
    </row>
    <row r="80" spans="1:33" x14ac:dyDescent="0.2">
      <c r="A80" s="2"/>
      <c r="B80" s="89">
        <v>90</v>
      </c>
      <c r="C80" s="90">
        <v>180</v>
      </c>
      <c r="D80" s="91">
        <v>10</v>
      </c>
      <c r="E80" s="92">
        <v>1.3246899999999999</v>
      </c>
      <c r="F80" s="93">
        <v>0.64842</v>
      </c>
      <c r="G80" s="93">
        <v>0.88965000000000005</v>
      </c>
      <c r="H80" s="94">
        <v>8.251E-2</v>
      </c>
      <c r="I80" s="94">
        <v>0.1323</v>
      </c>
      <c r="J80" s="93">
        <v>0.96243999999999996</v>
      </c>
      <c r="K80" s="94">
        <v>0.73699999999999999</v>
      </c>
      <c r="L80" s="94">
        <v>0.36160999999999999</v>
      </c>
      <c r="M80" s="95">
        <f t="shared" si="39"/>
        <v>0.80011077284999987</v>
      </c>
      <c r="N80" s="96">
        <v>14.916155384615383</v>
      </c>
      <c r="O80" s="97">
        <v>25.711490000000001</v>
      </c>
      <c r="T80" s="68">
        <f t="shared" si="25"/>
        <v>0.45</v>
      </c>
      <c r="U80" s="69">
        <f t="shared" si="26"/>
        <v>0.9</v>
      </c>
      <c r="V80" s="70">
        <f t="shared" si="27"/>
        <v>0.05</v>
      </c>
      <c r="W80" s="71">
        <f t="shared" si="28"/>
        <v>0.26815098510351026</v>
      </c>
      <c r="X80" s="63">
        <f t="shared" si="29"/>
        <v>0.13125671799501629</v>
      </c>
      <c r="Y80" s="73">
        <f t="shared" si="30"/>
        <v>0.18008781216536543</v>
      </c>
      <c r="Z80" s="74">
        <f t="shared" si="31"/>
        <v>1.67021248600734E-2</v>
      </c>
      <c r="AA80" s="74">
        <f t="shared" si="32"/>
        <v>2.6780888607292583E-2</v>
      </c>
      <c r="AB80" s="73">
        <f t="shared" si="33"/>
        <v>0.19482236153592344</v>
      </c>
      <c r="AC80" s="74">
        <f t="shared" si="34"/>
        <v>0.14918756540872738</v>
      </c>
      <c r="AD80" s="74">
        <f t="shared" si="35"/>
        <v>7.3199071271980873E-2</v>
      </c>
      <c r="AE80" s="75">
        <f t="shared" si="36"/>
        <v>3.2785393131048952E-2</v>
      </c>
      <c r="AF80" s="76">
        <f t="shared" si="37"/>
        <v>0.81874611171094025</v>
      </c>
      <c r="AG80" s="77">
        <f t="shared" si="38"/>
        <v>1.411300829267778</v>
      </c>
    </row>
    <row r="81" spans="1:33" x14ac:dyDescent="0.2">
      <c r="A81" s="2"/>
      <c r="B81" s="89">
        <v>110</v>
      </c>
      <c r="C81" s="90">
        <v>0</v>
      </c>
      <c r="D81" s="91">
        <v>10</v>
      </c>
      <c r="E81" s="92">
        <v>0.79815999999999998</v>
      </c>
      <c r="F81" s="93">
        <v>0.36574000000000001</v>
      </c>
      <c r="G81" s="93">
        <v>-0.39528000000000002</v>
      </c>
      <c r="H81" s="94">
        <v>0.13647999999999999</v>
      </c>
      <c r="I81" s="94">
        <v>-0.13174</v>
      </c>
      <c r="J81" s="93">
        <v>0.48949999999999999</v>
      </c>
      <c r="K81" s="94">
        <v>0.94047999999999998</v>
      </c>
      <c r="L81" s="94">
        <v>0.34554000000000001</v>
      </c>
      <c r="M81" s="95">
        <f t="shared" si="39"/>
        <v>0.62175538600000002</v>
      </c>
      <c r="N81" s="96">
        <v>125.29052</v>
      </c>
      <c r="O81" s="97">
        <v>52.0871</v>
      </c>
      <c r="T81" s="68">
        <f t="shared" si="25"/>
        <v>0.55000000000000004</v>
      </c>
      <c r="U81" s="69">
        <f t="shared" si="26"/>
        <v>0</v>
      </c>
      <c r="V81" s="70">
        <f t="shared" si="27"/>
        <v>0.05</v>
      </c>
      <c r="W81" s="71">
        <f t="shared" si="28"/>
        <v>0.16156790665757104</v>
      </c>
      <c r="X81" s="63">
        <f t="shared" si="29"/>
        <v>7.4035088429563037E-2</v>
      </c>
      <c r="Y81" s="73">
        <f t="shared" si="30"/>
        <v>-8.0014736573625192E-2</v>
      </c>
      <c r="Z81" s="74">
        <f t="shared" si="31"/>
        <v>2.7627027037968942E-2</v>
      </c>
      <c r="AA81" s="74">
        <f t="shared" si="32"/>
        <v>-2.6667530348637374E-2</v>
      </c>
      <c r="AB81" s="73">
        <f t="shared" si="33"/>
        <v>9.9087263592363709E-2</v>
      </c>
      <c r="AC81" s="74">
        <f t="shared" si="34"/>
        <v>0.19037709839294426</v>
      </c>
      <c r="AD81" s="74">
        <f t="shared" si="35"/>
        <v>6.9946094099500214E-2</v>
      </c>
      <c r="AE81" s="75">
        <f t="shared" si="36"/>
        <v>2.5477090739257746E-2</v>
      </c>
      <c r="AF81" s="76">
        <f t="shared" si="37"/>
        <v>6.8771827216311125</v>
      </c>
      <c r="AG81" s="77">
        <f t="shared" si="38"/>
        <v>2.8590551315444448</v>
      </c>
    </row>
    <row r="82" spans="1:33" x14ac:dyDescent="0.2">
      <c r="A82" s="2"/>
      <c r="B82" s="89">
        <v>150</v>
      </c>
      <c r="C82" s="90">
        <v>-180</v>
      </c>
      <c r="D82" s="91">
        <v>10</v>
      </c>
      <c r="E82" s="92">
        <v>1.34416</v>
      </c>
      <c r="F82" s="93">
        <v>0.69642999999999999</v>
      </c>
      <c r="G82" s="93">
        <v>1.1497200000000001</v>
      </c>
      <c r="H82" s="94">
        <v>-7.6469999999999996E-2</v>
      </c>
      <c r="I82" s="94">
        <v>4.0070000000000001E-2</v>
      </c>
      <c r="J82" s="93">
        <v>0.79757999999999996</v>
      </c>
      <c r="K82" s="94">
        <v>0.42248999999999998</v>
      </c>
      <c r="L82" s="94">
        <v>0.39332</v>
      </c>
      <c r="M82" s="95">
        <f t="shared" si="39"/>
        <v>0.48466613945000003</v>
      </c>
      <c r="N82" s="96">
        <v>30.667902307692305</v>
      </c>
      <c r="O82" s="97">
        <v>28.939789999999999</v>
      </c>
      <c r="T82" s="68">
        <f t="shared" si="25"/>
        <v>0.75</v>
      </c>
      <c r="U82" s="69">
        <f t="shared" si="26"/>
        <v>-0.9</v>
      </c>
      <c r="V82" s="70">
        <f t="shared" si="27"/>
        <v>0.05</v>
      </c>
      <c r="W82" s="71">
        <f t="shared" si="28"/>
        <v>0.27209220884639757</v>
      </c>
      <c r="X82" s="63">
        <f t="shared" si="29"/>
        <v>0.14097516442008143</v>
      </c>
      <c r="Y82" s="73">
        <f t="shared" si="30"/>
        <v>0.23273260203761473</v>
      </c>
      <c r="Z82" s="74">
        <f t="shared" si="31"/>
        <v>-1.5479475070292242E-2</v>
      </c>
      <c r="AA82" s="74">
        <f t="shared" si="32"/>
        <v>8.111188257703808E-3</v>
      </c>
      <c r="AB82" s="73">
        <f t="shared" si="33"/>
        <v>0.16145049988967813</v>
      </c>
      <c r="AC82" s="74">
        <f t="shared" si="34"/>
        <v>8.5522733391496922E-2</v>
      </c>
      <c r="AD82" s="74">
        <f t="shared" si="35"/>
        <v>7.9617982668331963E-2</v>
      </c>
      <c r="AE82" s="75">
        <f t="shared" si="36"/>
        <v>1.9859712502777419E-2</v>
      </c>
      <c r="AF82" s="76">
        <f t="shared" si="37"/>
        <v>1.68335775012453</v>
      </c>
      <c r="AG82" s="77">
        <f t="shared" si="38"/>
        <v>1.5885018575677781</v>
      </c>
    </row>
    <row r="83" spans="1:33" x14ac:dyDescent="0.2">
      <c r="A83" s="2"/>
      <c r="B83" s="89">
        <v>150</v>
      </c>
      <c r="C83" s="90">
        <v>-60</v>
      </c>
      <c r="D83" s="91">
        <v>10</v>
      </c>
      <c r="E83" s="92">
        <v>1.38724</v>
      </c>
      <c r="F83" s="93">
        <v>0.70574999999999999</v>
      </c>
      <c r="G83" s="93">
        <v>1.153</v>
      </c>
      <c r="H83" s="94">
        <v>-3.4950000000000002E-2</v>
      </c>
      <c r="I83" s="94">
        <v>7.5090000000000004E-2</v>
      </c>
      <c r="J83" s="93">
        <v>0.85421999999999998</v>
      </c>
      <c r="K83" s="94">
        <v>0.43387999999999999</v>
      </c>
      <c r="L83" s="94">
        <v>0.38185999999999998</v>
      </c>
      <c r="M83" s="95">
        <f t="shared" si="39"/>
        <v>0.53188036119999993</v>
      </c>
      <c r="N83" s="96">
        <v>129.92829</v>
      </c>
      <c r="O83" s="97">
        <v>57.204120000000003</v>
      </c>
      <c r="T83" s="68">
        <f t="shared" si="25"/>
        <v>0.75</v>
      </c>
      <c r="U83" s="69">
        <f t="shared" si="26"/>
        <v>-0.3</v>
      </c>
      <c r="V83" s="70">
        <f t="shared" si="27"/>
        <v>0.05</v>
      </c>
      <c r="W83" s="71">
        <f t="shared" si="28"/>
        <v>0.28081269774437312</v>
      </c>
      <c r="X83" s="63">
        <f t="shared" si="29"/>
        <v>0.14286176972484307</v>
      </c>
      <c r="Y83" s="73">
        <f t="shared" si="30"/>
        <v>0.23339655755259522</v>
      </c>
      <c r="Z83" s="74">
        <f t="shared" si="31"/>
        <v>-7.0747698928562038E-3</v>
      </c>
      <c r="AA83" s="74">
        <f t="shared" si="32"/>
        <v>1.5200127932891912E-2</v>
      </c>
      <c r="AB83" s="73">
        <f t="shared" si="33"/>
        <v>0.17291587805080474</v>
      </c>
      <c r="AC83" s="74">
        <f t="shared" si="34"/>
        <v>8.7828359402359071E-2</v>
      </c>
      <c r="AD83" s="74">
        <f t="shared" si="35"/>
        <v>7.7298186875137898E-2</v>
      </c>
      <c r="AE83" s="75">
        <f t="shared" si="36"/>
        <v>2.1794365645787236E-2</v>
      </c>
      <c r="AF83" s="76">
        <f t="shared" si="37"/>
        <v>7.1317494016233347</v>
      </c>
      <c r="AG83" s="77">
        <f t="shared" si="38"/>
        <v>3.1399277907866674</v>
      </c>
    </row>
    <row r="84" spans="1:33" x14ac:dyDescent="0.2">
      <c r="A84" s="2"/>
      <c r="B84" s="89">
        <v>150</v>
      </c>
      <c r="C84" s="90">
        <v>60</v>
      </c>
      <c r="D84" s="91">
        <v>10</v>
      </c>
      <c r="E84" s="92">
        <v>1.34463</v>
      </c>
      <c r="F84" s="93">
        <v>0.68293000000000004</v>
      </c>
      <c r="G84" s="93">
        <v>1.1094299999999999</v>
      </c>
      <c r="H84" s="94">
        <v>-2.1049999999999999E-2</v>
      </c>
      <c r="I84" s="94">
        <v>7.6380000000000003E-2</v>
      </c>
      <c r="J84" s="93">
        <v>0.83069999999999999</v>
      </c>
      <c r="K84" s="94">
        <v>0.43748999999999999</v>
      </c>
      <c r="L84" s="94">
        <v>0.35876999999999998</v>
      </c>
      <c r="M84" s="95">
        <f t="shared" si="39"/>
        <v>0.50508795149999997</v>
      </c>
      <c r="N84" s="96">
        <v>100.35494818181819</v>
      </c>
      <c r="O84" s="97">
        <v>57.871169999999999</v>
      </c>
      <c r="T84" s="68">
        <f t="shared" si="25"/>
        <v>0.75</v>
      </c>
      <c r="U84" s="69">
        <f t="shared" si="26"/>
        <v>0.3</v>
      </c>
      <c r="V84" s="70">
        <f t="shared" si="27"/>
        <v>0.05</v>
      </c>
      <c r="W84" s="71">
        <f t="shared" si="28"/>
        <v>0.27218734881348317</v>
      </c>
      <c r="X84" s="63">
        <f t="shared" si="29"/>
        <v>0.1382424206846434</v>
      </c>
      <c r="Y84" s="73">
        <f t="shared" si="30"/>
        <v>0.22457688017829636</v>
      </c>
      <c r="Z84" s="74">
        <f t="shared" si="31"/>
        <v>-4.261055972664466E-3</v>
      </c>
      <c r="AA84" s="74">
        <f t="shared" si="32"/>
        <v>1.5461256778722657E-2</v>
      </c>
      <c r="AB84" s="73">
        <f t="shared" si="33"/>
        <v>0.16815483118728608</v>
      </c>
      <c r="AC84" s="74">
        <f t="shared" si="34"/>
        <v>8.8559115319761392E-2</v>
      </c>
      <c r="AD84" s="74">
        <f t="shared" si="35"/>
        <v>7.2624182960229475E-2</v>
      </c>
      <c r="AE84" s="75">
        <f t="shared" si="36"/>
        <v>2.0696518054242177E-2</v>
      </c>
      <c r="AF84" s="76">
        <f t="shared" si="37"/>
        <v>5.5084719551502035</v>
      </c>
      <c r="AG84" s="77">
        <f t="shared" si="38"/>
        <v>3.1765420911700004</v>
      </c>
    </row>
    <row r="85" spans="1:33" x14ac:dyDescent="0.2">
      <c r="A85" s="2"/>
      <c r="B85" s="89">
        <v>150</v>
      </c>
      <c r="C85" s="90">
        <v>180</v>
      </c>
      <c r="D85" s="91">
        <v>10</v>
      </c>
      <c r="E85" s="92">
        <v>1.38358</v>
      </c>
      <c r="F85" s="93">
        <v>0.71665999999999996</v>
      </c>
      <c r="G85" s="93">
        <v>1.13341</v>
      </c>
      <c r="H85" s="94">
        <v>-2.0559999999999998E-2</v>
      </c>
      <c r="I85" s="94">
        <v>9.0730000000000005E-2</v>
      </c>
      <c r="J85" s="93">
        <v>0.86155999999999999</v>
      </c>
      <c r="K85" s="94">
        <v>0.45943000000000001</v>
      </c>
      <c r="L85" s="94">
        <v>0.38679000000000002</v>
      </c>
      <c r="M85" s="95">
        <f t="shared" si="39"/>
        <v>0.55148403130000001</v>
      </c>
      <c r="N85" s="96">
        <v>14.618010769230768</v>
      </c>
      <c r="O85" s="97">
        <v>19.227920000000001</v>
      </c>
      <c r="T85" s="68">
        <f t="shared" si="25"/>
        <v>0.75</v>
      </c>
      <c r="U85" s="69">
        <f t="shared" si="26"/>
        <v>0.9</v>
      </c>
      <c r="V85" s="70">
        <f t="shared" si="27"/>
        <v>0.05</v>
      </c>
      <c r="W85" s="71">
        <f t="shared" si="28"/>
        <v>0.28007182055387658</v>
      </c>
      <c r="X85" s="63">
        <f t="shared" si="29"/>
        <v>0.14507023151400075</v>
      </c>
      <c r="Y85" s="73">
        <f t="shared" si="30"/>
        <v>0.22943104275428183</v>
      </c>
      <c r="Z85" s="74">
        <f t="shared" si="31"/>
        <v>-4.1618674963411597E-3</v>
      </c>
      <c r="AA85" s="74">
        <f t="shared" si="32"/>
        <v>1.8366062156762328E-2</v>
      </c>
      <c r="AB85" s="73">
        <f t="shared" si="33"/>
        <v>0.1744016809410355</v>
      </c>
      <c r="AC85" s="74">
        <f t="shared" si="34"/>
        <v>9.300032995350288E-2</v>
      </c>
      <c r="AD85" s="74">
        <f t="shared" si="35"/>
        <v>7.8296144402227499E-2</v>
      </c>
      <c r="AE85" s="75">
        <f t="shared" si="36"/>
        <v>2.2597646957386804E-2</v>
      </c>
      <c r="AF85" s="76">
        <f t="shared" si="37"/>
        <v>0.8023809868996582</v>
      </c>
      <c r="AG85" s="77">
        <f t="shared" si="38"/>
        <v>1.0554183923644447</v>
      </c>
    </row>
    <row r="86" spans="1:33" x14ac:dyDescent="0.2">
      <c r="A86" s="2"/>
      <c r="B86" s="89">
        <v>190</v>
      </c>
      <c r="C86" s="90">
        <v>0</v>
      </c>
      <c r="D86" s="91">
        <v>10</v>
      </c>
      <c r="E86" s="92">
        <v>0.65815999999999997</v>
      </c>
      <c r="F86" s="93">
        <v>0.27023000000000003</v>
      </c>
      <c r="G86" s="93">
        <v>-0.39033000000000001</v>
      </c>
      <c r="H86" s="94">
        <v>4.8300000000000001E-3</v>
      </c>
      <c r="I86" s="94">
        <v>0.30871999999999999</v>
      </c>
      <c r="J86" s="93">
        <v>0.39456999999999998</v>
      </c>
      <c r="K86" s="94">
        <v>0.64553000000000005</v>
      </c>
      <c r="L86" s="94">
        <v>0.30803000000000003</v>
      </c>
      <c r="M86" s="95">
        <f t="shared" si="39"/>
        <v>0.33363847335000008</v>
      </c>
      <c r="N86" s="96">
        <v>96.601343636363637</v>
      </c>
      <c r="O86" s="97">
        <v>31.364080000000001</v>
      </c>
      <c r="T86" s="68">
        <f t="shared" si="25"/>
        <v>0.95</v>
      </c>
      <c r="U86" s="69">
        <f t="shared" si="26"/>
        <v>0</v>
      </c>
      <c r="V86" s="70">
        <f t="shared" si="27"/>
        <v>0.05</v>
      </c>
      <c r="W86" s="71">
        <f t="shared" si="28"/>
        <v>0.13322834199376934</v>
      </c>
      <c r="X86" s="63">
        <f t="shared" si="29"/>
        <v>5.4701432564993761E-2</v>
      </c>
      <c r="Y86" s="73">
        <f t="shared" si="30"/>
        <v>-7.9012730537297918E-2</v>
      </c>
      <c r="Z86" s="74">
        <f t="shared" si="31"/>
        <v>9.777149809011578E-4</v>
      </c>
      <c r="AA86" s="74">
        <f t="shared" si="32"/>
        <v>6.2492788592920373E-2</v>
      </c>
      <c r="AB86" s="73">
        <f t="shared" si="33"/>
        <v>7.9871014495687329E-2</v>
      </c>
      <c r="AC86" s="74">
        <f t="shared" si="34"/>
        <v>0.13067170841017067</v>
      </c>
      <c r="AD86" s="74">
        <f t="shared" si="35"/>
        <v>6.2353115024220217E-2</v>
      </c>
      <c r="AE86" s="75">
        <f t="shared" si="36"/>
        <v>1.3671192644313305E-2</v>
      </c>
      <c r="AF86" s="76">
        <f t="shared" si="37"/>
        <v>5.3024370187173746</v>
      </c>
      <c r="AG86" s="77">
        <f t="shared" si="38"/>
        <v>1.7215708663022227</v>
      </c>
    </row>
    <row r="87" spans="1:33" x14ac:dyDescent="0.2">
      <c r="A87" s="2"/>
      <c r="B87" s="89">
        <v>210</v>
      </c>
      <c r="C87" s="90">
        <v>-180</v>
      </c>
      <c r="D87" s="91">
        <v>10</v>
      </c>
      <c r="E87" s="92">
        <v>1.2794099999999999</v>
      </c>
      <c r="F87" s="93">
        <v>0.64071</v>
      </c>
      <c r="G87" s="93">
        <v>0.93147000000000002</v>
      </c>
      <c r="H87" s="94">
        <v>-0.10070999999999999</v>
      </c>
      <c r="I87" s="94">
        <v>7.3800000000000003E-3</v>
      </c>
      <c r="J87" s="93">
        <v>0.84719</v>
      </c>
      <c r="K87" s="94">
        <v>0.70174000000000003</v>
      </c>
      <c r="L87" s="94">
        <v>0.36992999999999998</v>
      </c>
      <c r="M87" s="95">
        <f t="shared" si="39"/>
        <v>0.67350906430000002</v>
      </c>
      <c r="N87" s="96">
        <v>30.112453846153844</v>
      </c>
      <c r="O87" s="97">
        <v>27.227170000000001</v>
      </c>
      <c r="T87" s="68">
        <f t="shared" si="25"/>
        <v>1.05</v>
      </c>
      <c r="U87" s="69">
        <f t="shared" si="26"/>
        <v>-0.9</v>
      </c>
      <c r="V87" s="70">
        <f t="shared" si="27"/>
        <v>0.05</v>
      </c>
      <c r="W87" s="71">
        <f t="shared" si="28"/>
        <v>0.25898516018938927</v>
      </c>
      <c r="X87" s="63">
        <f t="shared" si="29"/>
        <v>0.12969601768388836</v>
      </c>
      <c r="Y87" s="73">
        <f t="shared" si="30"/>
        <v>0.18855324498136675</v>
      </c>
      <c r="Z87" s="74">
        <f t="shared" si="31"/>
        <v>-2.0386268266367618E-2</v>
      </c>
      <c r="AA87" s="74">
        <f t="shared" si="32"/>
        <v>1.4938999087061168E-3</v>
      </c>
      <c r="AB87" s="73">
        <f t="shared" si="33"/>
        <v>0.17149282705375815</v>
      </c>
      <c r="AC87" s="74">
        <f t="shared" si="34"/>
        <v>0.14205004362268706</v>
      </c>
      <c r="AD87" s="74">
        <f t="shared" si="35"/>
        <v>7.4883251114858232E-2</v>
      </c>
      <c r="AE87" s="75">
        <f t="shared" si="36"/>
        <v>2.7597752960814206E-2</v>
      </c>
      <c r="AF87" s="76">
        <f t="shared" si="37"/>
        <v>1.6528692457871796</v>
      </c>
      <c r="AG87" s="77">
        <f t="shared" si="38"/>
        <v>1.4944963360588892</v>
      </c>
    </row>
    <row r="88" spans="1:33" x14ac:dyDescent="0.2">
      <c r="A88" s="2"/>
      <c r="B88" s="89">
        <v>210</v>
      </c>
      <c r="C88" s="90">
        <v>-120</v>
      </c>
      <c r="D88" s="91">
        <v>10</v>
      </c>
      <c r="E88" s="92">
        <v>0.83459000000000005</v>
      </c>
      <c r="F88" s="93">
        <v>0.36235000000000001</v>
      </c>
      <c r="G88" s="93">
        <v>-0.50853000000000004</v>
      </c>
      <c r="H88" s="94">
        <v>-3.2809999999999999E-2</v>
      </c>
      <c r="I88" s="94">
        <v>0.11773</v>
      </c>
      <c r="J88" s="93">
        <v>0.51502000000000003</v>
      </c>
      <c r="K88" s="94">
        <v>0.63612999999999997</v>
      </c>
      <c r="L88" s="94">
        <v>0.35777999999999999</v>
      </c>
      <c r="M88" s="95">
        <f t="shared" si="39"/>
        <v>0.39895675284999998</v>
      </c>
      <c r="N88" s="96">
        <v>71.019840769230768</v>
      </c>
      <c r="O88" s="97">
        <v>39.036909999999999</v>
      </c>
      <c r="T88" s="68">
        <f t="shared" si="25"/>
        <v>1.05</v>
      </c>
      <c r="U88" s="69">
        <f t="shared" si="26"/>
        <v>-0.6</v>
      </c>
      <c r="V88" s="70">
        <f t="shared" si="27"/>
        <v>0.05</v>
      </c>
      <c r="W88" s="71">
        <f t="shared" si="28"/>
        <v>0.16894226623401601</v>
      </c>
      <c r="X88" s="63">
        <f t="shared" si="29"/>
        <v>7.3348866113775266E-2</v>
      </c>
      <c r="Y88" s="73">
        <f t="shared" si="30"/>
        <v>-0.1029394201320219</v>
      </c>
      <c r="Z88" s="74">
        <f t="shared" si="31"/>
        <v>-6.641579404423806E-3</v>
      </c>
      <c r="AA88" s="74">
        <f t="shared" si="32"/>
        <v>2.3831549627638365E-2</v>
      </c>
      <c r="AB88" s="73">
        <f t="shared" si="33"/>
        <v>0.10425316137965099</v>
      </c>
      <c r="AC88" s="74">
        <f t="shared" si="34"/>
        <v>0.12876890906845828</v>
      </c>
      <c r="AD88" s="74">
        <f t="shared" si="35"/>
        <v>7.2423781752964017E-2</v>
      </c>
      <c r="AE88" s="75">
        <f t="shared" si="36"/>
        <v>1.6347678881866695E-2</v>
      </c>
      <c r="AF88" s="76">
        <f t="shared" si="37"/>
        <v>3.898271168729659</v>
      </c>
      <c r="AG88" s="77">
        <f t="shared" si="38"/>
        <v>2.1427316524655557</v>
      </c>
    </row>
    <row r="89" spans="1:33" x14ac:dyDescent="0.2">
      <c r="A89" s="2"/>
      <c r="B89" s="89">
        <v>210</v>
      </c>
      <c r="C89" s="90">
        <v>-60</v>
      </c>
      <c r="D89" s="91">
        <v>10</v>
      </c>
      <c r="E89" s="92">
        <v>1.3906400000000001</v>
      </c>
      <c r="F89" s="93">
        <v>0.69030999999999998</v>
      </c>
      <c r="G89" s="93">
        <v>1.00332</v>
      </c>
      <c r="H89" s="94">
        <v>-6.7739999999999995E-2</v>
      </c>
      <c r="I89" s="94">
        <v>0.11314</v>
      </c>
      <c r="J89" s="93">
        <v>0.97106999999999999</v>
      </c>
      <c r="K89" s="94">
        <v>0.70611000000000002</v>
      </c>
      <c r="L89" s="94">
        <v>0.35432000000000002</v>
      </c>
      <c r="M89" s="95">
        <f t="shared" si="39"/>
        <v>0.78355546970000001</v>
      </c>
      <c r="N89" s="96">
        <v>121.97464909090908</v>
      </c>
      <c r="O89" s="97">
        <v>56.83211</v>
      </c>
      <c r="T89" s="68">
        <f t="shared" si="25"/>
        <v>1.05</v>
      </c>
      <c r="U89" s="69">
        <f t="shared" si="26"/>
        <v>-0.3</v>
      </c>
      <c r="V89" s="70">
        <f t="shared" si="27"/>
        <v>0.05</v>
      </c>
      <c r="W89" s="71">
        <f t="shared" si="28"/>
        <v>0.28150094431477973</v>
      </c>
      <c r="X89" s="63">
        <f t="shared" si="29"/>
        <v>0.13973632059334953</v>
      </c>
      <c r="Y89" s="73">
        <f t="shared" si="30"/>
        <v>0.20309751441775353</v>
      </c>
      <c r="Z89" s="74">
        <f t="shared" si="31"/>
        <v>-1.3712300788042323E-2</v>
      </c>
      <c r="AA89" s="74">
        <f t="shared" si="32"/>
        <v>2.2902416757589437E-2</v>
      </c>
      <c r="AB89" s="73">
        <f t="shared" si="33"/>
        <v>0.19656929327198494</v>
      </c>
      <c r="AC89" s="74">
        <f t="shared" si="34"/>
        <v>0.14293464289112143</v>
      </c>
      <c r="AD89" s="74">
        <f t="shared" si="35"/>
        <v>7.1723389654844358E-2</v>
      </c>
      <c r="AE89" s="75">
        <f t="shared" si="36"/>
        <v>3.2107021909720333E-2</v>
      </c>
      <c r="AF89" s="76">
        <f t="shared" si="37"/>
        <v>6.6951749358612132</v>
      </c>
      <c r="AG89" s="77">
        <f t="shared" si="38"/>
        <v>3.1195082032211117</v>
      </c>
    </row>
    <row r="90" spans="1:33" x14ac:dyDescent="0.2">
      <c r="A90" s="2"/>
      <c r="B90" s="89">
        <v>210</v>
      </c>
      <c r="C90" s="90">
        <v>0</v>
      </c>
      <c r="D90" s="91">
        <v>10</v>
      </c>
      <c r="E90" s="92">
        <v>0.81644000000000005</v>
      </c>
      <c r="F90" s="93">
        <v>0.34653</v>
      </c>
      <c r="G90" s="93">
        <v>-0.52347999999999995</v>
      </c>
      <c r="H90" s="94">
        <v>3.6450000000000003E-2</v>
      </c>
      <c r="I90" s="94">
        <v>0.19725999999999999</v>
      </c>
      <c r="J90" s="93">
        <v>0.50421000000000005</v>
      </c>
      <c r="K90" s="94">
        <v>0.64195000000000002</v>
      </c>
      <c r="L90" s="94">
        <v>0.34781000000000001</v>
      </c>
      <c r="M90" s="95">
        <f t="shared" si="39"/>
        <v>0.39364966135000001</v>
      </c>
      <c r="N90" s="96">
        <v>98.229830909090907</v>
      </c>
      <c r="O90" s="97">
        <v>32.194319999999998</v>
      </c>
      <c r="T90" s="68">
        <f t="shared" si="25"/>
        <v>1.05</v>
      </c>
      <c r="U90" s="69">
        <f t="shared" si="26"/>
        <v>0</v>
      </c>
      <c r="V90" s="70">
        <f t="shared" si="27"/>
        <v>0.05</v>
      </c>
      <c r="W90" s="71">
        <f t="shared" si="28"/>
        <v>0.165268244100816</v>
      </c>
      <c r="X90" s="63">
        <f t="shared" si="29"/>
        <v>7.0146495306765672E-2</v>
      </c>
      <c r="Y90" s="73">
        <f t="shared" si="30"/>
        <v>-0.10596568078719214</v>
      </c>
      <c r="Z90" s="74">
        <f t="shared" si="31"/>
        <v>7.3784080856826506E-3</v>
      </c>
      <c r="AA90" s="74">
        <f t="shared" si="32"/>
        <v>3.9930446611296556E-2</v>
      </c>
      <c r="AB90" s="73">
        <f t="shared" si="33"/>
        <v>0.10206494213668174</v>
      </c>
      <c r="AC90" s="74">
        <f t="shared" si="34"/>
        <v>0.12994702525662488</v>
      </c>
      <c r="AD90" s="74">
        <f t="shared" si="35"/>
        <v>7.040559989797758E-2</v>
      </c>
      <c r="AE90" s="75">
        <f t="shared" si="36"/>
        <v>1.6130215141702098E-2</v>
      </c>
      <c r="AF90" s="76">
        <f t="shared" si="37"/>
        <v>5.3918245041743447</v>
      </c>
      <c r="AG90" s="77">
        <f t="shared" si="38"/>
        <v>1.7671426476533336</v>
      </c>
    </row>
    <row r="91" spans="1:33" x14ac:dyDescent="0.2">
      <c r="A91" s="2"/>
      <c r="B91" s="89">
        <v>210</v>
      </c>
      <c r="C91" s="90">
        <v>60</v>
      </c>
      <c r="D91" s="91">
        <v>10</v>
      </c>
      <c r="E91" s="92">
        <v>1.4334199999999999</v>
      </c>
      <c r="F91" s="93">
        <v>0.71399000000000001</v>
      </c>
      <c r="G91" s="93">
        <v>1.01508</v>
      </c>
      <c r="H91" s="94">
        <v>-6.4530000000000004E-2</v>
      </c>
      <c r="I91" s="94">
        <v>0.12222</v>
      </c>
      <c r="J91" s="93">
        <v>1.0362499999999999</v>
      </c>
      <c r="K91" s="94">
        <v>0.73524999999999996</v>
      </c>
      <c r="L91" s="94">
        <v>0.36320000000000002</v>
      </c>
      <c r="M91" s="95">
        <f t="shared" si="39"/>
        <v>0.87316043249999997</v>
      </c>
      <c r="N91" s="96">
        <v>99.240768181818183</v>
      </c>
      <c r="O91" s="97">
        <v>56.557250000000003</v>
      </c>
      <c r="T91" s="68">
        <f t="shared" si="25"/>
        <v>1.05</v>
      </c>
      <c r="U91" s="69">
        <f t="shared" si="26"/>
        <v>0.3</v>
      </c>
      <c r="V91" s="70">
        <f t="shared" si="27"/>
        <v>0.05</v>
      </c>
      <c r="W91" s="71">
        <f t="shared" si="28"/>
        <v>0.29016070557418994</v>
      </c>
      <c r="X91" s="63">
        <f t="shared" si="29"/>
        <v>0.14452975553076969</v>
      </c>
      <c r="Y91" s="73">
        <f t="shared" si="30"/>
        <v>0.20547803784951288</v>
      </c>
      <c r="Z91" s="74">
        <f t="shared" si="31"/>
        <v>-1.306251505539373E-2</v>
      </c>
      <c r="AA91" s="74">
        <f t="shared" si="32"/>
        <v>2.4740439951498862E-2</v>
      </c>
      <c r="AB91" s="73">
        <f t="shared" si="33"/>
        <v>0.20976338487760343</v>
      </c>
      <c r="AC91" s="74">
        <f t="shared" si="34"/>
        <v>0.14883332085042986</v>
      </c>
      <c r="AD91" s="74">
        <f t="shared" si="35"/>
        <v>7.3520927756376919E-2</v>
      </c>
      <c r="AE91" s="75">
        <f t="shared" si="36"/>
        <v>3.5778680924417494E-2</v>
      </c>
      <c r="AF91" s="76">
        <f t="shared" si="37"/>
        <v>5.4473147387479806</v>
      </c>
      <c r="AG91" s="77">
        <f t="shared" si="38"/>
        <v>3.104421168361112</v>
      </c>
    </row>
    <row r="92" spans="1:33" x14ac:dyDescent="0.2">
      <c r="A92" s="2"/>
      <c r="B92" s="89">
        <v>210</v>
      </c>
      <c r="C92" s="90">
        <v>120</v>
      </c>
      <c r="D92" s="91">
        <v>10</v>
      </c>
      <c r="E92" s="92">
        <v>0.85397999999999996</v>
      </c>
      <c r="F92" s="93">
        <v>0.37795000000000001</v>
      </c>
      <c r="G92" s="93">
        <v>-0.55467999999999995</v>
      </c>
      <c r="H92" s="94">
        <v>4.6379999999999998E-2</v>
      </c>
      <c r="I92" s="94">
        <v>0.122</v>
      </c>
      <c r="J92" s="93">
        <v>0.53747</v>
      </c>
      <c r="K92" s="94">
        <v>0.65949000000000002</v>
      </c>
      <c r="L92" s="94">
        <v>0.35387999999999997</v>
      </c>
      <c r="M92" s="95">
        <f t="shared" si="39"/>
        <v>0.4245160577</v>
      </c>
      <c r="N92" s="96">
        <v>47.619202307692312</v>
      </c>
      <c r="O92" s="97">
        <v>35.94341</v>
      </c>
      <c r="T92" s="68">
        <f t="shared" si="25"/>
        <v>1.05</v>
      </c>
      <c r="U92" s="69">
        <f t="shared" si="26"/>
        <v>0.6</v>
      </c>
      <c r="V92" s="70">
        <f t="shared" si="27"/>
        <v>0.05</v>
      </c>
      <c r="W92" s="71">
        <f t="shared" si="28"/>
        <v>0.17286729593995251</v>
      </c>
      <c r="X92" s="63">
        <f t="shared" si="29"/>
        <v>7.6506703319170311E-2</v>
      </c>
      <c r="Y92" s="73">
        <f t="shared" si="30"/>
        <v>-0.11228135519798223</v>
      </c>
      <c r="Z92" s="74">
        <f t="shared" si="31"/>
        <v>9.3884929221937259E-3</v>
      </c>
      <c r="AA92" s="74">
        <f t="shared" si="32"/>
        <v>2.4695906349884316E-2</v>
      </c>
      <c r="AB92" s="73">
        <f t="shared" si="33"/>
        <v>0.10879761299895346</v>
      </c>
      <c r="AC92" s="74">
        <f t="shared" si="34"/>
        <v>0.13349756785807548</v>
      </c>
      <c r="AD92" s="74">
        <f t="shared" si="35"/>
        <v>7.1634322451615259E-2</v>
      </c>
      <c r="AE92" s="75">
        <f t="shared" si="36"/>
        <v>1.7394998685696751E-2</v>
      </c>
      <c r="AF92" s="76">
        <f t="shared" si="37"/>
        <v>2.613812723646753</v>
      </c>
      <c r="AG92" s="77">
        <f t="shared" si="38"/>
        <v>1.9729297811877782</v>
      </c>
    </row>
    <row r="93" spans="1:33" x14ac:dyDescent="0.2">
      <c r="A93" s="2"/>
      <c r="B93" s="89">
        <v>210</v>
      </c>
      <c r="C93" s="90">
        <v>180</v>
      </c>
      <c r="D93" s="91">
        <v>10</v>
      </c>
      <c r="E93" s="92">
        <v>1.3351999999999999</v>
      </c>
      <c r="F93" s="93">
        <v>0.67818000000000001</v>
      </c>
      <c r="G93" s="93">
        <v>0.92576000000000003</v>
      </c>
      <c r="H93" s="94">
        <v>-4.6929999999999999E-2</v>
      </c>
      <c r="I93" s="94">
        <v>4.0509999999999997E-2</v>
      </c>
      <c r="J93" s="93">
        <v>0.97209999999999996</v>
      </c>
      <c r="K93" s="94">
        <v>0.76109000000000004</v>
      </c>
      <c r="L93" s="94">
        <v>0.36770999999999998</v>
      </c>
      <c r="M93" s="95">
        <f t="shared" si="39"/>
        <v>0.82972352110000003</v>
      </c>
      <c r="N93" s="96">
        <v>18.873463846153847</v>
      </c>
      <c r="O93" s="97">
        <v>21.978860000000001</v>
      </c>
      <c r="T93" s="68">
        <f t="shared" si="25"/>
        <v>1.05</v>
      </c>
      <c r="U93" s="69">
        <f t="shared" si="26"/>
        <v>0.9</v>
      </c>
      <c r="V93" s="70">
        <f t="shared" si="27"/>
        <v>0.05</v>
      </c>
      <c r="W93" s="71">
        <f t="shared" si="28"/>
        <v>0.27027847670791422</v>
      </c>
      <c r="X93" s="63">
        <f t="shared" si="29"/>
        <v>0.13728089974069299</v>
      </c>
      <c r="Y93" s="73">
        <f t="shared" si="30"/>
        <v>0.18739739559400742</v>
      </c>
      <c r="Z93" s="74">
        <f t="shared" si="31"/>
        <v>-9.4998269262300903E-3</v>
      </c>
      <c r="AA93" s="74">
        <f t="shared" si="32"/>
        <v>8.2002554609328978E-3</v>
      </c>
      <c r="AB93" s="73">
        <f t="shared" si="33"/>
        <v>0.19677779149772576</v>
      </c>
      <c r="AC93" s="74">
        <f t="shared" si="34"/>
        <v>0.15406399478552013</v>
      </c>
      <c r="AD93" s="74">
        <f t="shared" si="35"/>
        <v>7.4433866589475095E-2</v>
      </c>
      <c r="AE93" s="75">
        <f t="shared" si="36"/>
        <v>3.3998807105727495E-2</v>
      </c>
      <c r="AF93" s="76">
        <f t="shared" si="37"/>
        <v>1.0359623334638464</v>
      </c>
      <c r="AG93" s="77">
        <f t="shared" si="38"/>
        <v>1.2064171833044448</v>
      </c>
    </row>
    <row r="94" spans="1:33" x14ac:dyDescent="0.2">
      <c r="A94" s="2"/>
      <c r="B94" s="89">
        <v>230</v>
      </c>
      <c r="C94" s="90">
        <v>0</v>
      </c>
      <c r="D94" s="91">
        <v>10</v>
      </c>
      <c r="E94" s="92">
        <v>0.85528999999999999</v>
      </c>
      <c r="F94" s="93">
        <v>0.38797999999999999</v>
      </c>
      <c r="G94" s="93">
        <v>-0.42075000000000001</v>
      </c>
      <c r="H94" s="94">
        <v>-4.0739999999999998E-2</v>
      </c>
      <c r="I94" s="94">
        <v>-0.13308</v>
      </c>
      <c r="J94" s="93">
        <v>0.52729000000000004</v>
      </c>
      <c r="K94" s="94">
        <v>0.97782999999999998</v>
      </c>
      <c r="L94" s="94">
        <v>0.35260999999999998</v>
      </c>
      <c r="M94" s="95">
        <f t="shared" si="39"/>
        <v>0.67926003255</v>
      </c>
      <c r="N94" s="96">
        <v>99.141711818181818</v>
      </c>
      <c r="O94" s="97">
        <v>36.612000000000002</v>
      </c>
      <c r="T94" s="68">
        <f t="shared" si="25"/>
        <v>1.1499999999999999</v>
      </c>
      <c r="U94" s="69">
        <f t="shared" si="26"/>
        <v>0</v>
      </c>
      <c r="V94" s="70">
        <f t="shared" si="27"/>
        <v>0.05</v>
      </c>
      <c r="W94" s="71">
        <f t="shared" si="28"/>
        <v>0.17313247329502096</v>
      </c>
      <c r="X94" s="63">
        <f t="shared" si="29"/>
        <v>7.8537030701869806E-2</v>
      </c>
      <c r="Y94" s="73">
        <f t="shared" si="30"/>
        <v>-8.5170513087818242E-2</v>
      </c>
      <c r="Z94" s="74">
        <f t="shared" si="31"/>
        <v>-8.2468133171662867E-3</v>
      </c>
      <c r="AA94" s="74">
        <f t="shared" si="32"/>
        <v>-2.6938780467562335E-2</v>
      </c>
      <c r="AB94" s="73">
        <f t="shared" si="33"/>
        <v>0.10673692179697132</v>
      </c>
      <c r="AC94" s="74">
        <f t="shared" si="34"/>
        <v>0.1979376893943228</v>
      </c>
      <c r="AD94" s="74">
        <f t="shared" si="35"/>
        <v>7.1377242115022194E-2</v>
      </c>
      <c r="AE94" s="75">
        <f t="shared" si="36"/>
        <v>2.7833405024701337E-2</v>
      </c>
      <c r="AF94" s="76">
        <f t="shared" si="37"/>
        <v>5.4418775459542434</v>
      </c>
      <c r="AG94" s="77">
        <f t="shared" si="38"/>
        <v>2.0096286120000006</v>
      </c>
    </row>
    <row r="95" spans="1:33" x14ac:dyDescent="0.2">
      <c r="A95" s="2"/>
      <c r="B95" s="68">
        <v>330</v>
      </c>
      <c r="C95" s="69">
        <v>-60</v>
      </c>
      <c r="D95" s="70">
        <v>10</v>
      </c>
      <c r="E95" s="98">
        <v>1.5166900000000001</v>
      </c>
      <c r="F95" s="109">
        <v>0.72577000000000003</v>
      </c>
      <c r="G95" s="75">
        <v>1.20726</v>
      </c>
      <c r="H95" s="74">
        <v>5.2490000000000002E-2</v>
      </c>
      <c r="I95" s="74">
        <v>0.13461000000000001</v>
      </c>
      <c r="J95" s="75">
        <v>0.61156999999999995</v>
      </c>
      <c r="K95" s="74">
        <v>0.74972000000000005</v>
      </c>
      <c r="L95" s="74">
        <v>0.379</v>
      </c>
      <c r="M95" s="75">
        <f t="shared" si="39"/>
        <v>0.53986947164999999</v>
      </c>
      <c r="N95" s="76">
        <v>93.112780000000001</v>
      </c>
      <c r="O95" s="77">
        <v>37.651829999999997</v>
      </c>
      <c r="T95" s="68">
        <f t="shared" si="25"/>
        <v>1.65</v>
      </c>
      <c r="U95" s="69">
        <f t="shared" si="26"/>
        <v>-0.3</v>
      </c>
      <c r="V95" s="70">
        <f t="shared" si="27"/>
        <v>0.05</v>
      </c>
      <c r="W95" s="98">
        <f t="shared" si="28"/>
        <v>0.30701667378529546</v>
      </c>
      <c r="X95" s="63">
        <f t="shared" si="29"/>
        <v>0.14691432747176672</v>
      </c>
      <c r="Y95" s="75">
        <f t="shared" si="30"/>
        <v>0.24438016311443719</v>
      </c>
      <c r="Z95" s="74">
        <f t="shared" si="31"/>
        <v>1.0625312494306784E-2</v>
      </c>
      <c r="AA95" s="74">
        <f t="shared" si="32"/>
        <v>2.7248491424245312E-2</v>
      </c>
      <c r="AB95" s="75">
        <f t="shared" si="33"/>
        <v>0.12379733972457992</v>
      </c>
      <c r="AC95" s="74">
        <f t="shared" si="34"/>
        <v>0.15176241728389567</v>
      </c>
      <c r="AD95" s="74">
        <f t="shared" si="35"/>
        <v>7.6719250054148813E-2</v>
      </c>
      <c r="AE95" s="75">
        <f t="shared" si="36"/>
        <v>2.2121727975802669E-2</v>
      </c>
      <c r="AF95" s="76">
        <f t="shared" si="37"/>
        <v>5.1109501483355562</v>
      </c>
      <c r="AG95" s="77">
        <f t="shared" si="38"/>
        <v>2.0667047651633337</v>
      </c>
    </row>
    <row r="96" spans="1:33" x14ac:dyDescent="0.2">
      <c r="A96" s="2"/>
      <c r="B96" s="68">
        <v>330</v>
      </c>
      <c r="C96" s="69">
        <v>0</v>
      </c>
      <c r="D96" s="70">
        <v>10</v>
      </c>
      <c r="E96" s="71">
        <v>0.87633000000000005</v>
      </c>
      <c r="F96" s="72">
        <v>0.38611000000000001</v>
      </c>
      <c r="G96" s="73">
        <v>-0.58521000000000001</v>
      </c>
      <c r="H96" s="74">
        <v>8.2419999999999993E-2</v>
      </c>
      <c r="I96" s="74">
        <v>0.18376000000000001</v>
      </c>
      <c r="J96" s="73">
        <v>0.54178999999999999</v>
      </c>
      <c r="K96" s="74">
        <v>0.66098999999999997</v>
      </c>
      <c r="L96" s="74">
        <v>0.36454999999999999</v>
      </c>
      <c r="M96" s="75">
        <f t="shared" si="39"/>
        <v>0.43167044334999999</v>
      </c>
      <c r="N96" s="76">
        <v>79.024263636363628</v>
      </c>
      <c r="O96" s="77">
        <v>26.956199999999999</v>
      </c>
      <c r="T96" s="68">
        <f t="shared" si="25"/>
        <v>1.65</v>
      </c>
      <c r="U96" s="69">
        <f t="shared" si="26"/>
        <v>0</v>
      </c>
      <c r="V96" s="70">
        <f t="shared" si="27"/>
        <v>0.05</v>
      </c>
      <c r="W96" s="71">
        <f t="shared" si="28"/>
        <v>0.17739150501306658</v>
      </c>
      <c r="X96" s="63">
        <f t="shared" si="29"/>
        <v>7.8158495088146179E-2</v>
      </c>
      <c r="Y96" s="73">
        <f t="shared" si="30"/>
        <v>-0.11846140454930984</v>
      </c>
      <c r="Z96" s="74">
        <f t="shared" si="31"/>
        <v>1.6683906568503812E-2</v>
      </c>
      <c r="AA96" s="74">
        <f t="shared" si="32"/>
        <v>3.7197702875858538E-2</v>
      </c>
      <c r="AB96" s="73">
        <f t="shared" si="33"/>
        <v>0.10967209099429363</v>
      </c>
      <c r="AC96" s="74">
        <f t="shared" si="34"/>
        <v>0.1338012060509019</v>
      </c>
      <c r="AD96" s="74">
        <f t="shared" si="35"/>
        <v>7.3794202129920716E-2</v>
      </c>
      <c r="AE96" s="75">
        <f t="shared" si="36"/>
        <v>1.7688157275864064E-2</v>
      </c>
      <c r="AF96" s="76">
        <f t="shared" si="37"/>
        <v>4.3376330505262626</v>
      </c>
      <c r="AG96" s="77">
        <f t="shared" si="38"/>
        <v>1.4796228228666668</v>
      </c>
    </row>
    <row r="97" spans="1:33" x14ac:dyDescent="0.2">
      <c r="A97" s="2"/>
      <c r="B97" s="100">
        <v>330</v>
      </c>
      <c r="C97" s="101">
        <v>60</v>
      </c>
      <c r="D97" s="102">
        <v>10</v>
      </c>
      <c r="E97" s="103">
        <v>1.53149</v>
      </c>
      <c r="F97" s="104">
        <v>0.73343000000000003</v>
      </c>
      <c r="G97" s="105">
        <v>1.2235799999999999</v>
      </c>
      <c r="H97" s="106">
        <v>-5.0569999999999997E-2</v>
      </c>
      <c r="I97" s="106">
        <v>0.12703</v>
      </c>
      <c r="J97" s="105">
        <v>0.62649999999999995</v>
      </c>
      <c r="K97" s="106">
        <v>0.75390999999999997</v>
      </c>
      <c r="L97" s="106">
        <v>0.38168000000000002</v>
      </c>
      <c r="M97" s="105">
        <f t="shared" si="39"/>
        <v>0.55328108025</v>
      </c>
      <c r="N97" s="107">
        <v>75.456888181818186</v>
      </c>
      <c r="O97" s="108">
        <v>37.534100000000002</v>
      </c>
      <c r="T97" s="100">
        <f t="shared" si="25"/>
        <v>1.65</v>
      </c>
      <c r="U97" s="101">
        <f t="shared" si="26"/>
        <v>0.3</v>
      </c>
      <c r="V97" s="102">
        <f t="shared" si="27"/>
        <v>0.05</v>
      </c>
      <c r="W97" s="103">
        <f t="shared" si="28"/>
        <v>0.31001257062118304</v>
      </c>
      <c r="X97" s="63">
        <f t="shared" si="29"/>
        <v>0.14846490650980043</v>
      </c>
      <c r="Y97" s="105">
        <f t="shared" si="30"/>
        <v>0.24768374665238893</v>
      </c>
      <c r="Z97" s="106">
        <f t="shared" si="31"/>
        <v>-1.0236655607488933E-2</v>
      </c>
      <c r="AA97" s="106">
        <f t="shared" si="32"/>
        <v>2.5714106423162332E-2</v>
      </c>
      <c r="AB97" s="105">
        <f t="shared" si="33"/>
        <v>0.12681955187051247</v>
      </c>
      <c r="AC97" s="106">
        <f t="shared" si="34"/>
        <v>0.15261057996919086</v>
      </c>
      <c r="AD97" s="106">
        <f t="shared" si="35"/>
        <v>7.7261750291998735E-2</v>
      </c>
      <c r="AE97" s="105">
        <f t="shared" si="36"/>
        <v>2.2671282956676787E-2</v>
      </c>
      <c r="AF97" s="107">
        <f t="shared" si="37"/>
        <v>4.141820208201314</v>
      </c>
      <c r="AG97" s="108">
        <f t="shared" si="38"/>
        <v>2.0602425785444449</v>
      </c>
    </row>
    <row r="98" spans="1:33" x14ac:dyDescent="0.2">
      <c r="A98" s="2"/>
      <c r="B98" s="58">
        <v>-150</v>
      </c>
      <c r="C98" s="59">
        <v>-60</v>
      </c>
      <c r="D98" s="60">
        <v>30</v>
      </c>
      <c r="E98" s="61">
        <v>2.1110699999999998</v>
      </c>
      <c r="F98" s="63">
        <v>0.81603999999999999</v>
      </c>
      <c r="G98" s="63">
        <v>1.9572099999999999</v>
      </c>
      <c r="H98" s="64">
        <v>-7.6520000000000005E-2</v>
      </c>
      <c r="I98" s="64">
        <v>0.13661999999999999</v>
      </c>
      <c r="J98" s="63">
        <v>0.88312999999999997</v>
      </c>
      <c r="K98" s="64">
        <v>0.46361000000000002</v>
      </c>
      <c r="L98" s="64">
        <v>0.44418999999999997</v>
      </c>
      <c r="M98" s="65">
        <f t="shared" si="39"/>
        <v>0.59607879254999996</v>
      </c>
      <c r="N98" s="66">
        <v>152.33301090909089</v>
      </c>
      <c r="O98" s="67">
        <v>247.29407</v>
      </c>
      <c r="T98" s="58">
        <f t="shared" si="25"/>
        <v>-0.75</v>
      </c>
      <c r="U98" s="59">
        <f t="shared" si="26"/>
        <v>-0.3</v>
      </c>
      <c r="V98" s="60">
        <f t="shared" si="27"/>
        <v>0.15</v>
      </c>
      <c r="W98" s="61">
        <f t="shared" si="28"/>
        <v>0.42733431982008424</v>
      </c>
      <c r="X98" s="63">
        <f t="shared" si="29"/>
        <v>0.16518727391606228</v>
      </c>
      <c r="Y98" s="63">
        <f t="shared" si="30"/>
        <v>0.3961891382545662</v>
      </c>
      <c r="Z98" s="64">
        <f t="shared" si="31"/>
        <v>-1.5489596343386458E-2</v>
      </c>
      <c r="AA98" s="64">
        <f t="shared" si="32"/>
        <v>2.7655366602632746E-2</v>
      </c>
      <c r="AB98" s="63">
        <f t="shared" si="33"/>
        <v>0.17876799815387978</v>
      </c>
      <c r="AC98" s="64">
        <f t="shared" si="34"/>
        <v>9.3846468384179246E-2</v>
      </c>
      <c r="AD98" s="64">
        <f t="shared" si="35"/>
        <v>8.9915365914386175E-2</v>
      </c>
      <c r="AE98" s="65">
        <f t="shared" si="36"/>
        <v>2.4424964909823141E-2</v>
      </c>
      <c r="AF98" s="66">
        <f t="shared" si="37"/>
        <v>8.3615420429098997</v>
      </c>
      <c r="AG98" s="67">
        <f t="shared" si="38"/>
        <v>13.573944025181113</v>
      </c>
    </row>
    <row r="99" spans="1:33" x14ac:dyDescent="0.2">
      <c r="A99" s="2"/>
      <c r="B99" s="68">
        <v>-150</v>
      </c>
      <c r="C99" s="69">
        <v>0</v>
      </c>
      <c r="D99" s="70">
        <v>30</v>
      </c>
      <c r="E99" s="71">
        <v>0.84502999999999995</v>
      </c>
      <c r="F99" s="73">
        <v>0.36345</v>
      </c>
      <c r="G99" s="73">
        <v>-0.48336000000000001</v>
      </c>
      <c r="H99" s="74">
        <v>9.8030000000000006E-2</v>
      </c>
      <c r="I99" s="74">
        <v>6.7989999999999995E-2</v>
      </c>
      <c r="J99" s="73">
        <v>0.53432999999999997</v>
      </c>
      <c r="K99" s="74">
        <v>0.60516999999999999</v>
      </c>
      <c r="L99" s="74">
        <v>0.43080000000000002</v>
      </c>
      <c r="M99" s="75">
        <f t="shared" si="39"/>
        <v>0.41866395889999997</v>
      </c>
      <c r="N99" s="76">
        <v>1298.0214354545456</v>
      </c>
      <c r="O99" s="77">
        <v>413.70794999999998</v>
      </c>
      <c r="T99" s="68">
        <f t="shared" si="25"/>
        <v>-0.75</v>
      </c>
      <c r="U99" s="69">
        <f t="shared" si="26"/>
        <v>0</v>
      </c>
      <c r="V99" s="70">
        <f t="shared" si="27"/>
        <v>0.15</v>
      </c>
      <c r="W99" s="71">
        <f t="shared" si="28"/>
        <v>0.17105558805608806</v>
      </c>
      <c r="X99" s="63">
        <f t="shared" si="29"/>
        <v>7.3571534121847984E-2</v>
      </c>
      <c r="Y99" s="73">
        <f t="shared" si="30"/>
        <v>-9.7844371256394128E-2</v>
      </c>
      <c r="Z99" s="74">
        <f t="shared" si="31"/>
        <v>1.9843768028517703E-2</v>
      </c>
      <c r="AA99" s="74">
        <f t="shared" si="32"/>
        <v>1.3762907153513398E-2</v>
      </c>
      <c r="AB99" s="73">
        <f t="shared" si="33"/>
        <v>0.10816199704863677</v>
      </c>
      <c r="AC99" s="74">
        <f t="shared" si="34"/>
        <v>0.12250181676852041</v>
      </c>
      <c r="AD99" s="74">
        <f t="shared" si="35"/>
        <v>8.7204888979755438E-2</v>
      </c>
      <c r="AE99" s="75">
        <f t="shared" si="36"/>
        <v>1.7155202689554463E-2</v>
      </c>
      <c r="AF99" s="76">
        <f t="shared" si="37"/>
        <v>71.248252367496079</v>
      </c>
      <c r="AG99" s="77">
        <f t="shared" si="38"/>
        <v>22.708383407950002</v>
      </c>
    </row>
    <row r="100" spans="1:33" x14ac:dyDescent="0.2">
      <c r="A100" s="2"/>
      <c r="B100" s="68">
        <v>-150</v>
      </c>
      <c r="C100" s="69">
        <v>60</v>
      </c>
      <c r="D100" s="70">
        <v>30</v>
      </c>
      <c r="E100" s="71">
        <v>2.12479</v>
      </c>
      <c r="F100" s="73">
        <v>0.78764999999999996</v>
      </c>
      <c r="G100" s="73">
        <v>1.9743299999999999</v>
      </c>
      <c r="H100" s="74">
        <v>-8.1229999999999997E-2</v>
      </c>
      <c r="I100" s="74">
        <v>0.14871999999999999</v>
      </c>
      <c r="J100" s="73">
        <v>0.85640000000000005</v>
      </c>
      <c r="K100" s="74">
        <v>0.45717999999999998</v>
      </c>
      <c r="L100" s="74">
        <v>0.43869000000000002</v>
      </c>
      <c r="M100" s="75">
        <f t="shared" si="39"/>
        <v>0.56744171425000012</v>
      </c>
      <c r="N100" s="76">
        <v>81.723684545454546</v>
      </c>
      <c r="O100" s="77">
        <v>176.24011999999999</v>
      </c>
      <c r="T100" s="68">
        <f t="shared" si="25"/>
        <v>-0.75</v>
      </c>
      <c r="U100" s="69">
        <f t="shared" si="26"/>
        <v>0.3</v>
      </c>
      <c r="V100" s="70">
        <f t="shared" si="27"/>
        <v>0.15</v>
      </c>
      <c r="W100" s="71">
        <f t="shared" ref="W100:W131" si="40">E100/$R$8</f>
        <v>0.43011159715713682</v>
      </c>
      <c r="X100" s="63">
        <f t="shared" ref="X100:X131" si="41">F100/$R$8</f>
        <v>0.15944041505316706</v>
      </c>
      <c r="Y100" s="73">
        <f t="shared" ref="Y100:Y131" si="42">G100/$R$8</f>
        <v>0.39965466216202539</v>
      </c>
      <c r="Z100" s="74">
        <f t="shared" ref="Z100:Z131" si="43">H100/$R$8</f>
        <v>-1.6443020268861498E-2</v>
      </c>
      <c r="AA100" s="74">
        <f t="shared" ref="AA100:AA131" si="44">I100/$R$8</f>
        <v>3.0104714691432749E-2</v>
      </c>
      <c r="AB100" s="73">
        <f t="shared" ref="AB100:AB131" si="45">J100/$R$8</f>
        <v>0.17335716555771252</v>
      </c>
      <c r="AC100" s="74">
        <f t="shared" ref="AC100:AC131" si="46">K100/$R$8</f>
        <v>9.25448726642632E-2</v>
      </c>
      <c r="AD100" s="74">
        <f t="shared" ref="AD100:AD131" si="47">L100/$R$8</f>
        <v>8.8802025874022555E-2</v>
      </c>
      <c r="AE100" s="75">
        <f t="shared" si="36"/>
        <v>2.3251530052989709E-2</v>
      </c>
      <c r="AF100" s="76">
        <f t="shared" ref="AF100:AF131" si="48">N100/$R$11</f>
        <v>4.4858039642906071</v>
      </c>
      <c r="AG100" s="77">
        <f t="shared" ref="AG100:AG131" si="49">O100/$R$11</f>
        <v>9.6738006045644465</v>
      </c>
    </row>
    <row r="101" spans="1:33" x14ac:dyDescent="0.2">
      <c r="A101" s="2"/>
      <c r="B101" s="68">
        <v>-120</v>
      </c>
      <c r="C101" s="69">
        <v>-60</v>
      </c>
      <c r="D101" s="70">
        <v>30</v>
      </c>
      <c r="E101" s="71">
        <v>2.0563400000000001</v>
      </c>
      <c r="F101" s="73">
        <v>0.78186</v>
      </c>
      <c r="G101" s="73">
        <v>1.9040999999999999</v>
      </c>
      <c r="H101" s="74">
        <v>-8.0119999999999997E-2</v>
      </c>
      <c r="I101" s="74">
        <v>0.11642</v>
      </c>
      <c r="J101" s="73">
        <v>0.84650000000000003</v>
      </c>
      <c r="K101" s="74">
        <v>0.51243000000000005</v>
      </c>
      <c r="L101" s="74">
        <v>0.43369000000000002</v>
      </c>
      <c r="M101" s="75">
        <f t="shared" si="39"/>
        <v>0.58361688550000013</v>
      </c>
      <c r="N101" s="76">
        <v>226.06841909090909</v>
      </c>
      <c r="O101" s="77">
        <v>242.14286000000001</v>
      </c>
      <c r="T101" s="68">
        <f t="shared" si="25"/>
        <v>-0.6</v>
      </c>
      <c r="U101" s="69">
        <f t="shared" si="26"/>
        <v>-0.3</v>
      </c>
      <c r="V101" s="70">
        <f t="shared" si="27"/>
        <v>0.15</v>
      </c>
      <c r="W101" s="71">
        <f t="shared" si="40"/>
        <v>0.41625557429115667</v>
      </c>
      <c r="X101" s="63">
        <f t="shared" si="41"/>
        <v>0.15826837162885699</v>
      </c>
      <c r="Y101" s="73">
        <f t="shared" si="42"/>
        <v>0.38543832197389116</v>
      </c>
      <c r="Z101" s="74">
        <f t="shared" si="43"/>
        <v>-1.621832800616993E-2</v>
      </c>
      <c r="AA101" s="74">
        <f t="shared" si="44"/>
        <v>2.3566372272569934E-2</v>
      </c>
      <c r="AB101" s="73">
        <f t="shared" si="45"/>
        <v>0.17135315348505797</v>
      </c>
      <c r="AC101" s="74">
        <f t="shared" si="46"/>
        <v>0.10372887943337067</v>
      </c>
      <c r="AD101" s="74">
        <f t="shared" si="47"/>
        <v>8.7789898564601065E-2</v>
      </c>
      <c r="AE101" s="75">
        <f t="shared" si="36"/>
        <v>2.3914324963879768E-2</v>
      </c>
      <c r="AF101" s="76">
        <f t="shared" si="48"/>
        <v>12.40887040518677</v>
      </c>
      <c r="AG101" s="77">
        <f t="shared" si="49"/>
        <v>13.291194680637782</v>
      </c>
    </row>
    <row r="102" spans="1:33" x14ac:dyDescent="0.2">
      <c r="A102" s="2"/>
      <c r="B102" s="68">
        <v>-120</v>
      </c>
      <c r="C102" s="69">
        <v>60</v>
      </c>
      <c r="D102" s="70">
        <v>30</v>
      </c>
      <c r="E102" s="71">
        <v>2.1557900000000001</v>
      </c>
      <c r="F102" s="73">
        <v>0.80535999999999996</v>
      </c>
      <c r="G102" s="73">
        <v>2.0044599999999999</v>
      </c>
      <c r="H102" s="74">
        <v>-5.1290000000000002E-2</v>
      </c>
      <c r="I102" s="74">
        <v>0.13048999999999999</v>
      </c>
      <c r="J102" s="73">
        <v>0.86775999999999998</v>
      </c>
      <c r="K102" s="74">
        <v>0.51217000000000001</v>
      </c>
      <c r="L102" s="74">
        <v>0.43826999999999999</v>
      </c>
      <c r="M102" s="75">
        <f t="shared" si="39"/>
        <v>0.60370305970000004</v>
      </c>
      <c r="N102" s="76">
        <v>147.42745636363637</v>
      </c>
      <c r="O102" s="77">
        <v>200.87584000000001</v>
      </c>
      <c r="T102" s="68">
        <f t="shared" si="25"/>
        <v>-0.6</v>
      </c>
      <c r="U102" s="69">
        <f t="shared" si="26"/>
        <v>0.3</v>
      </c>
      <c r="V102" s="70">
        <f t="shared" si="27"/>
        <v>0.15</v>
      </c>
      <c r="W102" s="71">
        <f t="shared" si="40"/>
        <v>0.43638678647555007</v>
      </c>
      <c r="X102" s="63">
        <f t="shared" si="41"/>
        <v>0.16302536998313796</v>
      </c>
      <c r="Y102" s="73">
        <f t="shared" si="42"/>
        <v>0.40575374132859926</v>
      </c>
      <c r="Z102" s="74">
        <f t="shared" si="43"/>
        <v>-1.0382401940045628E-2</v>
      </c>
      <c r="AA102" s="74">
        <f t="shared" si="44"/>
        <v>2.6414498521282002E-2</v>
      </c>
      <c r="AB102" s="73">
        <f t="shared" si="45"/>
        <v>0.17565671880471814</v>
      </c>
      <c r="AC102" s="74">
        <f t="shared" si="46"/>
        <v>0.10367624881328073</v>
      </c>
      <c r="AD102" s="74">
        <f t="shared" si="47"/>
        <v>8.8717007180031143E-2</v>
      </c>
      <c r="AE102" s="75">
        <f t="shared" si="36"/>
        <v>2.4737377396107409E-2</v>
      </c>
      <c r="AF102" s="76">
        <f t="shared" si="48"/>
        <v>8.0922766989715171</v>
      </c>
      <c r="AG102" s="77">
        <f t="shared" si="49"/>
        <v>11.026052538062224</v>
      </c>
    </row>
    <row r="103" spans="1:33" x14ac:dyDescent="0.2">
      <c r="A103" s="2"/>
      <c r="B103" s="68">
        <v>-90</v>
      </c>
      <c r="C103" s="69">
        <v>-60</v>
      </c>
      <c r="D103" s="70">
        <v>30</v>
      </c>
      <c r="E103" s="71">
        <v>2.1138400000000002</v>
      </c>
      <c r="F103" s="73">
        <v>0.80261000000000005</v>
      </c>
      <c r="G103" s="73">
        <v>1.97444</v>
      </c>
      <c r="H103" s="74">
        <v>-9.4280000000000003E-2</v>
      </c>
      <c r="I103" s="74">
        <v>5.747E-2</v>
      </c>
      <c r="J103" s="73">
        <v>0.85440000000000005</v>
      </c>
      <c r="K103" s="74">
        <v>0.42571999999999999</v>
      </c>
      <c r="L103" s="74">
        <v>0.39367000000000002</v>
      </c>
      <c r="M103" s="75">
        <f t="shared" si="39"/>
        <v>0.53310647365000008</v>
      </c>
      <c r="N103" s="76">
        <v>248.02873636363637</v>
      </c>
      <c r="O103" s="77">
        <v>208.71099000000001</v>
      </c>
      <c r="T103" s="68">
        <f t="shared" si="25"/>
        <v>-0.45</v>
      </c>
      <c r="U103" s="69">
        <f t="shared" si="26"/>
        <v>-0.3</v>
      </c>
      <c r="V103" s="70">
        <f t="shared" si="27"/>
        <v>0.15</v>
      </c>
      <c r="W103" s="71">
        <f t="shared" si="40"/>
        <v>0.42789503834950382</v>
      </c>
      <c r="X103" s="63">
        <f t="shared" si="41"/>
        <v>0.16246869996295615</v>
      </c>
      <c r="Y103" s="73">
        <f t="shared" si="42"/>
        <v>0.39967692896283269</v>
      </c>
      <c r="Z103" s="74">
        <f t="shared" si="43"/>
        <v>-1.9084672546451586E-2</v>
      </c>
      <c r="AA103" s="74">
        <f t="shared" si="44"/>
        <v>1.1633391294490586E-2</v>
      </c>
      <c r="AB103" s="73">
        <f t="shared" si="45"/>
        <v>0.17295231463394395</v>
      </c>
      <c r="AC103" s="74">
        <f t="shared" si="46"/>
        <v>8.6176567633383203E-2</v>
      </c>
      <c r="AD103" s="74">
        <f t="shared" si="47"/>
        <v>7.9688831579991473E-2</v>
      </c>
      <c r="AE103" s="75">
        <f t="shared" si="36"/>
        <v>2.184460691244703E-2</v>
      </c>
      <c r="AF103" s="76">
        <f t="shared" si="48"/>
        <v>13.614269780251519</v>
      </c>
      <c r="AG103" s="77">
        <f t="shared" si="49"/>
        <v>11.456123050990003</v>
      </c>
    </row>
    <row r="104" spans="1:33" x14ac:dyDescent="0.2">
      <c r="A104" s="2"/>
      <c r="B104" s="68">
        <v>-90</v>
      </c>
      <c r="C104" s="69">
        <v>60</v>
      </c>
      <c r="D104" s="70">
        <v>30</v>
      </c>
      <c r="E104" s="71">
        <v>2.0840900000000002</v>
      </c>
      <c r="F104" s="73">
        <v>0.81044000000000005</v>
      </c>
      <c r="G104" s="73">
        <v>1.9293800000000001</v>
      </c>
      <c r="H104" s="74">
        <v>-7.9670000000000005E-2</v>
      </c>
      <c r="I104" s="74">
        <v>6.2219999999999998E-2</v>
      </c>
      <c r="J104" s="73">
        <v>0.88095000000000001</v>
      </c>
      <c r="K104" s="74">
        <v>0.43135000000000001</v>
      </c>
      <c r="L104" s="74">
        <v>0.40311000000000002</v>
      </c>
      <c r="M104" s="75">
        <f t="shared" si="39"/>
        <v>0.56231669854999999</v>
      </c>
      <c r="N104" s="76">
        <v>164.37969363636364</v>
      </c>
      <c r="O104" s="77">
        <v>174.20092</v>
      </c>
      <c r="T104" s="68">
        <f t="shared" si="25"/>
        <v>-0.45</v>
      </c>
      <c r="U104" s="69">
        <f t="shared" si="26"/>
        <v>0.3</v>
      </c>
      <c r="V104" s="70">
        <f t="shared" si="27"/>
        <v>0.15</v>
      </c>
      <c r="W104" s="71">
        <f t="shared" si="40"/>
        <v>0.42187288085844599</v>
      </c>
      <c r="X104" s="63">
        <f t="shared" si="41"/>
        <v>0.16405369132951023</v>
      </c>
      <c r="Y104" s="73">
        <f t="shared" si="42"/>
        <v>0.39055563765032625</v>
      </c>
      <c r="Z104" s="74">
        <f t="shared" si="43"/>
        <v>-1.6127236548321995E-2</v>
      </c>
      <c r="AA104" s="74">
        <f t="shared" si="44"/>
        <v>1.2594912238441001E-2</v>
      </c>
      <c r="AB104" s="73">
        <f t="shared" si="45"/>
        <v>0.17832671064697203</v>
      </c>
      <c r="AC104" s="74">
        <f t="shared" si="46"/>
        <v>8.7316222983791797E-2</v>
      </c>
      <c r="AD104" s="74">
        <f t="shared" si="47"/>
        <v>8.1599727940179237E-2</v>
      </c>
      <c r="AE104" s="75">
        <f t="shared" si="36"/>
        <v>2.3041527063117705E-2</v>
      </c>
      <c r="AF104" s="76">
        <f t="shared" si="48"/>
        <v>9.0227831192895973</v>
      </c>
      <c r="AG104" s="77">
        <f t="shared" si="49"/>
        <v>9.5618691431422231</v>
      </c>
    </row>
    <row r="105" spans="1:33" x14ac:dyDescent="0.2">
      <c r="A105" s="2"/>
      <c r="B105" s="68">
        <v>-50</v>
      </c>
      <c r="C105" s="69">
        <v>-60</v>
      </c>
      <c r="D105" s="70">
        <v>30</v>
      </c>
      <c r="E105" s="71">
        <v>1.9557199999999999</v>
      </c>
      <c r="F105" s="73">
        <v>0.83652000000000004</v>
      </c>
      <c r="G105" s="73">
        <v>1.8036000000000001</v>
      </c>
      <c r="H105" s="74">
        <v>-7.4340000000000003E-2</v>
      </c>
      <c r="I105" s="74">
        <v>5.9569999999999998E-2</v>
      </c>
      <c r="J105" s="73">
        <v>0.8982</v>
      </c>
      <c r="K105" s="74">
        <v>0.42988999999999999</v>
      </c>
      <c r="L105" s="74">
        <v>0.38968999999999998</v>
      </c>
      <c r="M105" s="75">
        <f t="shared" si="39"/>
        <v>0.57171347409999995</v>
      </c>
      <c r="N105" s="76">
        <v>236.00029363636364</v>
      </c>
      <c r="O105" s="77">
        <v>164.15912</v>
      </c>
      <c r="T105" s="68">
        <f t="shared" si="25"/>
        <v>-0.25</v>
      </c>
      <c r="U105" s="69">
        <f t="shared" si="26"/>
        <v>-0.3</v>
      </c>
      <c r="V105" s="70">
        <f t="shared" si="27"/>
        <v>0.15</v>
      </c>
      <c r="W105" s="71">
        <f t="shared" si="40"/>
        <v>0.3958875243163586</v>
      </c>
      <c r="X105" s="63">
        <f t="shared" si="41"/>
        <v>0.16933294737545271</v>
      </c>
      <c r="Y105" s="73">
        <f t="shared" si="42"/>
        <v>0.36509456305451932</v>
      </c>
      <c r="Z105" s="74">
        <f t="shared" si="43"/>
        <v>-1.504830883647869E-2</v>
      </c>
      <c r="AA105" s="74">
        <f t="shared" si="44"/>
        <v>1.2058484764447612E-2</v>
      </c>
      <c r="AB105" s="73">
        <f t="shared" si="45"/>
        <v>0.18181854986447615</v>
      </c>
      <c r="AC105" s="74">
        <f t="shared" si="46"/>
        <v>8.7020681809440725E-2</v>
      </c>
      <c r="AD105" s="74">
        <f t="shared" si="47"/>
        <v>7.8883178241691956E-2</v>
      </c>
      <c r="AE105" s="75">
        <f t="shared" si="36"/>
        <v>2.3426569973455737E-2</v>
      </c>
      <c r="AF105" s="76">
        <f t="shared" si="48"/>
        <v>12.954029895445155</v>
      </c>
      <c r="AG105" s="77">
        <f t="shared" si="49"/>
        <v>9.0106758568977803</v>
      </c>
    </row>
    <row r="106" spans="1:33" x14ac:dyDescent="0.2">
      <c r="A106" s="2"/>
      <c r="B106" s="68">
        <v>-50</v>
      </c>
      <c r="C106" s="69">
        <v>0</v>
      </c>
      <c r="D106" s="70">
        <v>30</v>
      </c>
      <c r="E106" s="71">
        <v>0.63646000000000003</v>
      </c>
      <c r="F106" s="73">
        <v>0.25040000000000001</v>
      </c>
      <c r="G106" s="73">
        <v>-0.22852</v>
      </c>
      <c r="H106" s="74">
        <v>-6.9400000000000003E-2</v>
      </c>
      <c r="I106" s="74">
        <v>0.47254000000000002</v>
      </c>
      <c r="J106" s="73">
        <v>0.40215000000000001</v>
      </c>
      <c r="K106" s="74">
        <v>0.53237999999999996</v>
      </c>
      <c r="L106" s="74">
        <v>0.34103</v>
      </c>
      <c r="M106" s="75">
        <f t="shared" si="39"/>
        <v>0.28072727390000002</v>
      </c>
      <c r="N106" s="76">
        <v>261.44047272727272</v>
      </c>
      <c r="O106" s="77">
        <v>84.353899999999996</v>
      </c>
      <c r="T106" s="68">
        <f t="shared" si="25"/>
        <v>-0.25</v>
      </c>
      <c r="U106" s="69">
        <f t="shared" si="26"/>
        <v>0</v>
      </c>
      <c r="V106" s="70">
        <f t="shared" si="27"/>
        <v>0.15</v>
      </c>
      <c r="W106" s="71">
        <f t="shared" si="40"/>
        <v>0.12883570947088011</v>
      </c>
      <c r="X106" s="63">
        <f t="shared" si="41"/>
        <v>5.0687335655828142E-2</v>
      </c>
      <c r="Y106" s="73">
        <f t="shared" si="42"/>
        <v>-4.6258266549799705E-2</v>
      </c>
      <c r="Z106" s="74">
        <f t="shared" si="43"/>
        <v>-1.4048327054770259E-2</v>
      </c>
      <c r="AA106" s="74">
        <f t="shared" si="44"/>
        <v>9.5654127758806023E-2</v>
      </c>
      <c r="AB106" s="73">
        <f t="shared" si="45"/>
        <v>8.1405399496770309E-2</v>
      </c>
      <c r="AC106" s="74">
        <f t="shared" si="46"/>
        <v>0.10776726739796239</v>
      </c>
      <c r="AD106" s="74">
        <f t="shared" si="47"/>
        <v>6.9033155266402038E-2</v>
      </c>
      <c r="AE106" s="75">
        <f t="shared" si="36"/>
        <v>1.1503099757843936E-2</v>
      </c>
      <c r="AF106" s="76">
        <f t="shared" si="48"/>
        <v>14.350438499058589</v>
      </c>
      <c r="AG106" s="77">
        <f t="shared" si="49"/>
        <v>4.6301761983444454</v>
      </c>
    </row>
    <row r="107" spans="1:33" x14ac:dyDescent="0.2">
      <c r="A107" s="2"/>
      <c r="B107" s="68">
        <v>-50</v>
      </c>
      <c r="C107" s="69">
        <v>60</v>
      </c>
      <c r="D107" s="70">
        <v>30</v>
      </c>
      <c r="E107" s="71">
        <v>1.9591099999999999</v>
      </c>
      <c r="F107" s="73">
        <v>0.84616999999999998</v>
      </c>
      <c r="G107" s="73">
        <v>1.7922</v>
      </c>
      <c r="H107" s="74">
        <v>-6.6110000000000002E-2</v>
      </c>
      <c r="I107" s="74">
        <v>6.9169999999999995E-2</v>
      </c>
      <c r="J107" s="73">
        <v>0.91818999999999995</v>
      </c>
      <c r="K107" s="74">
        <v>0.42995</v>
      </c>
      <c r="L107" s="74">
        <v>0.40334999999999999</v>
      </c>
      <c r="M107" s="75">
        <f t="shared" si="39"/>
        <v>0.59531055054999993</v>
      </c>
      <c r="N107" s="76">
        <v>169.59183727272728</v>
      </c>
      <c r="O107" s="77">
        <v>145.61825999999999</v>
      </c>
      <c r="T107" s="68">
        <f t="shared" si="25"/>
        <v>-0.25</v>
      </c>
      <c r="U107" s="69">
        <f t="shared" si="26"/>
        <v>0.3</v>
      </c>
      <c r="V107" s="70">
        <f t="shared" si="27"/>
        <v>0.15</v>
      </c>
      <c r="W107" s="71">
        <f t="shared" si="40"/>
        <v>0.3965737466321464</v>
      </c>
      <c r="X107" s="63">
        <f t="shared" si="41"/>
        <v>0.17128635308263615</v>
      </c>
      <c r="Y107" s="73">
        <f t="shared" si="42"/>
        <v>0.3627869127890383</v>
      </c>
      <c r="Z107" s="74">
        <f t="shared" si="43"/>
        <v>-1.3382347285170919E-2</v>
      </c>
      <c r="AA107" s="74">
        <f t="shared" si="44"/>
        <v>1.4001769198536868E-2</v>
      </c>
      <c r="AB107" s="73">
        <f t="shared" si="45"/>
        <v>0.18586503484754327</v>
      </c>
      <c r="AC107" s="74">
        <f t="shared" si="46"/>
        <v>8.7032827337153784E-2</v>
      </c>
      <c r="AD107" s="74">
        <f t="shared" si="47"/>
        <v>8.1648310051031459E-2</v>
      </c>
      <c r="AE107" s="75">
        <f t="shared" si="36"/>
        <v>2.439348537368333E-2</v>
      </c>
      <c r="AF107" s="76">
        <f t="shared" si="48"/>
        <v>9.3088771043625265</v>
      </c>
      <c r="AG107" s="77">
        <f t="shared" si="49"/>
        <v>7.9929701115933343</v>
      </c>
    </row>
    <row r="108" spans="1:33" x14ac:dyDescent="0.2">
      <c r="A108" s="2"/>
      <c r="B108" s="68">
        <v>-30</v>
      </c>
      <c r="C108" s="69">
        <v>-180</v>
      </c>
      <c r="D108" s="70">
        <v>30</v>
      </c>
      <c r="E108" s="71">
        <v>1.95529</v>
      </c>
      <c r="F108" s="73">
        <v>0.80376000000000003</v>
      </c>
      <c r="G108" s="73">
        <v>1.7779</v>
      </c>
      <c r="H108" s="74">
        <v>-6.4530000000000004E-2</v>
      </c>
      <c r="I108" s="74">
        <v>0.14111000000000001</v>
      </c>
      <c r="J108" s="73">
        <v>0.87378999999999996</v>
      </c>
      <c r="K108" s="74">
        <v>0.44651999999999997</v>
      </c>
      <c r="L108" s="74">
        <v>0.43254999999999999</v>
      </c>
      <c r="M108" s="75">
        <f t="shared" si="39"/>
        <v>0.57499428849999989</v>
      </c>
      <c r="N108" s="76">
        <v>17.618060769230766</v>
      </c>
      <c r="O108" s="77">
        <v>28.29036</v>
      </c>
      <c r="T108" s="68">
        <f t="shared" si="25"/>
        <v>-0.15</v>
      </c>
      <c r="U108" s="69">
        <f t="shared" si="26"/>
        <v>-0.9</v>
      </c>
      <c r="V108" s="70">
        <f t="shared" si="27"/>
        <v>0.15</v>
      </c>
      <c r="W108" s="71">
        <f t="shared" si="40"/>
        <v>0.39580048136774837</v>
      </c>
      <c r="X108" s="63">
        <f t="shared" si="41"/>
        <v>0.16270148924412309</v>
      </c>
      <c r="Y108" s="73">
        <f t="shared" si="42"/>
        <v>0.35989222868409282</v>
      </c>
      <c r="Z108" s="74">
        <f t="shared" si="43"/>
        <v>-1.306251505539373E-2</v>
      </c>
      <c r="AA108" s="74">
        <f t="shared" si="44"/>
        <v>2.8564256926493246E-2</v>
      </c>
      <c r="AB108" s="73">
        <f t="shared" si="45"/>
        <v>0.17687734433988045</v>
      </c>
      <c r="AC108" s="74">
        <f t="shared" si="46"/>
        <v>9.0387017240576586E-2</v>
      </c>
      <c r="AD108" s="74">
        <f t="shared" si="47"/>
        <v>8.7559133538052961E-2</v>
      </c>
      <c r="AE108" s="75">
        <f t="shared" si="36"/>
        <v>2.3561004846155757E-2</v>
      </c>
      <c r="AF108" s="76">
        <f t="shared" si="48"/>
        <v>0.96705339806076929</v>
      </c>
      <c r="AG108" s="77">
        <f t="shared" si="49"/>
        <v>1.5528547170266669</v>
      </c>
    </row>
    <row r="109" spans="1:33" x14ac:dyDescent="0.2">
      <c r="A109" s="2"/>
      <c r="B109" s="68">
        <v>-30</v>
      </c>
      <c r="C109" s="69">
        <v>-120</v>
      </c>
      <c r="D109" s="70">
        <v>30</v>
      </c>
      <c r="E109" s="71">
        <v>0.81228999999999996</v>
      </c>
      <c r="F109" s="73">
        <v>0.34436</v>
      </c>
      <c r="G109" s="73">
        <v>-0.39145999999999997</v>
      </c>
      <c r="H109" s="74">
        <v>8.3890000000000006E-2</v>
      </c>
      <c r="I109" s="74">
        <v>0.15973999999999999</v>
      </c>
      <c r="J109" s="73">
        <v>0.53227999999999998</v>
      </c>
      <c r="K109" s="74">
        <v>0.59846999999999995</v>
      </c>
      <c r="L109" s="74">
        <v>0.43559999999999999</v>
      </c>
      <c r="M109" s="75">
        <f t="shared" si="39"/>
        <v>0.41561784964999993</v>
      </c>
      <c r="N109" s="76">
        <v>103.70624230769229</v>
      </c>
      <c r="O109" s="77">
        <v>88.35763</v>
      </c>
      <c r="T109" s="68">
        <f t="shared" si="25"/>
        <v>-0.15</v>
      </c>
      <c r="U109" s="69">
        <f t="shared" si="26"/>
        <v>-0.6</v>
      </c>
      <c r="V109" s="70">
        <f t="shared" si="27"/>
        <v>0.15</v>
      </c>
      <c r="W109" s="71">
        <f t="shared" si="40"/>
        <v>0.16442817843399615</v>
      </c>
      <c r="X109" s="63">
        <f t="shared" si="41"/>
        <v>6.970723205447675E-2</v>
      </c>
      <c r="Y109" s="73">
        <f t="shared" si="42"/>
        <v>-7.9241471309227166E-2</v>
      </c>
      <c r="Z109" s="74">
        <f t="shared" si="43"/>
        <v>1.6981471997473734E-2</v>
      </c>
      <c r="AA109" s="74">
        <f t="shared" si="44"/>
        <v>3.2335443281397709E-2</v>
      </c>
      <c r="AB109" s="73">
        <f t="shared" si="45"/>
        <v>0.10774702485177395</v>
      </c>
      <c r="AC109" s="74">
        <f t="shared" si="46"/>
        <v>0.12114556617389562</v>
      </c>
      <c r="AD109" s="74">
        <f t="shared" si="47"/>
        <v>8.8176531196800065E-2</v>
      </c>
      <c r="AE109" s="75">
        <f t="shared" si="36"/>
        <v>1.7030385110951386E-2</v>
      </c>
      <c r="AF109" s="76">
        <f t="shared" si="48"/>
        <v>5.6924241173534194</v>
      </c>
      <c r="AG109" s="77">
        <f t="shared" si="49"/>
        <v>4.8499404931855565</v>
      </c>
    </row>
    <row r="110" spans="1:33" x14ac:dyDescent="0.2">
      <c r="A110" s="2"/>
      <c r="B110" s="68">
        <v>-30</v>
      </c>
      <c r="C110" s="69">
        <v>-60</v>
      </c>
      <c r="D110" s="70">
        <v>30</v>
      </c>
      <c r="E110" s="71">
        <v>2.0085899999999999</v>
      </c>
      <c r="F110" s="73">
        <v>0.80384</v>
      </c>
      <c r="G110" s="73">
        <v>1.8440399999999999</v>
      </c>
      <c r="H110" s="74">
        <v>-4.0969999999999999E-2</v>
      </c>
      <c r="I110" s="74">
        <v>9.6479999999999996E-2</v>
      </c>
      <c r="J110" s="73">
        <v>0.87561999999999995</v>
      </c>
      <c r="K110" s="74">
        <v>0.44958999999999999</v>
      </c>
      <c r="L110" s="74">
        <v>0.4249</v>
      </c>
      <c r="M110" s="75">
        <f t="shared" si="39"/>
        <v>0.57469078124999995</v>
      </c>
      <c r="N110" s="76">
        <v>224.14560909090909</v>
      </c>
      <c r="O110" s="77">
        <v>145.17735999999999</v>
      </c>
      <c r="T110" s="68">
        <f t="shared" si="25"/>
        <v>-0.15</v>
      </c>
      <c r="U110" s="69">
        <f t="shared" si="26"/>
        <v>-0.3</v>
      </c>
      <c r="V110" s="70">
        <f t="shared" si="27"/>
        <v>0.15</v>
      </c>
      <c r="W110" s="71">
        <f t="shared" si="40"/>
        <v>0.40658975848618145</v>
      </c>
      <c r="X110" s="63">
        <f t="shared" si="41"/>
        <v>0.16271768328107383</v>
      </c>
      <c r="Y110" s="73">
        <f t="shared" si="42"/>
        <v>0.37328064873312028</v>
      </c>
      <c r="Z110" s="74">
        <f t="shared" si="43"/>
        <v>-8.2933711733996756E-3</v>
      </c>
      <c r="AA110" s="74">
        <f t="shared" si="44"/>
        <v>1.953000856259704E-2</v>
      </c>
      <c r="AB110" s="73">
        <f t="shared" si="45"/>
        <v>0.17724778293512872</v>
      </c>
      <c r="AC110" s="74">
        <f t="shared" si="46"/>
        <v>9.1008463408561391E-2</v>
      </c>
      <c r="AD110" s="74">
        <f t="shared" si="47"/>
        <v>8.6010578754638078E-2</v>
      </c>
      <c r="AE110" s="75">
        <f t="shared" si="36"/>
        <v>2.3548568312556882E-2</v>
      </c>
      <c r="AF110" s="76">
        <f t="shared" si="48"/>
        <v>12.303327577932325</v>
      </c>
      <c r="AG110" s="77">
        <f t="shared" si="49"/>
        <v>7.968769159582223</v>
      </c>
    </row>
    <row r="111" spans="1:33" x14ac:dyDescent="0.2">
      <c r="A111" s="2"/>
      <c r="B111" s="68">
        <v>-30</v>
      </c>
      <c r="C111" s="69">
        <v>0</v>
      </c>
      <c r="D111" s="70">
        <v>30</v>
      </c>
      <c r="E111" s="71">
        <v>0.81874000000000002</v>
      </c>
      <c r="F111" s="73">
        <v>0.34805999999999998</v>
      </c>
      <c r="G111" s="73">
        <v>-0.43519999999999998</v>
      </c>
      <c r="H111" s="74">
        <v>0.10335999999999999</v>
      </c>
      <c r="I111" s="74">
        <v>0.15407000000000001</v>
      </c>
      <c r="J111" s="73">
        <v>0.53169</v>
      </c>
      <c r="K111" s="74">
        <v>0.60743999999999998</v>
      </c>
      <c r="L111" s="74">
        <v>0.4214</v>
      </c>
      <c r="M111" s="75">
        <f t="shared" si="39"/>
        <v>0.41462778484999996</v>
      </c>
      <c r="N111" s="76">
        <v>247.41311545454542</v>
      </c>
      <c r="O111" s="77">
        <v>83.409329999999997</v>
      </c>
      <c r="T111" s="68">
        <f t="shared" si="25"/>
        <v>-0.15</v>
      </c>
      <c r="U111" s="69">
        <f t="shared" si="26"/>
        <v>0</v>
      </c>
      <c r="V111" s="70">
        <f t="shared" si="27"/>
        <v>0.15</v>
      </c>
      <c r="W111" s="71">
        <f t="shared" si="40"/>
        <v>0.16573382266314987</v>
      </c>
      <c r="X111" s="63">
        <f t="shared" si="41"/>
        <v>7.0456206263448645E-2</v>
      </c>
      <c r="Y111" s="73">
        <f t="shared" si="42"/>
        <v>-8.8095561012046339E-2</v>
      </c>
      <c r="Z111" s="74">
        <f t="shared" si="43"/>
        <v>2.0922695740361007E-2</v>
      </c>
      <c r="AA111" s="74">
        <f t="shared" si="44"/>
        <v>3.1187690912513746E-2</v>
      </c>
      <c r="AB111" s="73">
        <f t="shared" si="45"/>
        <v>0.10762759382926222</v>
      </c>
      <c r="AC111" s="74">
        <f t="shared" si="46"/>
        <v>0.12296132256699777</v>
      </c>
      <c r="AD111" s="74">
        <f t="shared" si="47"/>
        <v>8.5302089638043033E-2</v>
      </c>
      <c r="AE111" s="75">
        <f t="shared" si="36"/>
        <v>1.6989816148759326E-2</v>
      </c>
      <c r="AF111" s="76">
        <f t="shared" si="48"/>
        <v>13.58047841695384</v>
      </c>
      <c r="AG111" s="77">
        <f t="shared" si="49"/>
        <v>4.5783288559966673</v>
      </c>
    </row>
    <row r="112" spans="1:33" x14ac:dyDescent="0.2">
      <c r="A112" s="2"/>
      <c r="B112" s="68">
        <v>-30</v>
      </c>
      <c r="C112" s="69">
        <v>60</v>
      </c>
      <c r="D112" s="70">
        <v>30</v>
      </c>
      <c r="E112" s="71">
        <v>1.9531000000000001</v>
      </c>
      <c r="F112" s="73">
        <v>0.81498000000000004</v>
      </c>
      <c r="G112" s="73">
        <v>1.77034</v>
      </c>
      <c r="H112" s="74">
        <v>-4.8390000000000002E-2</v>
      </c>
      <c r="I112" s="74">
        <v>0.11108999999999999</v>
      </c>
      <c r="J112" s="73">
        <v>0.90054999999999996</v>
      </c>
      <c r="K112" s="74">
        <v>0.47211999999999998</v>
      </c>
      <c r="L112" s="74">
        <v>0.42471999999999999</v>
      </c>
      <c r="M112" s="75">
        <f t="shared" si="39"/>
        <v>0.60713733764999989</v>
      </c>
      <c r="N112" s="76">
        <v>178.83875454545455</v>
      </c>
      <c r="O112" s="77">
        <v>140.90169</v>
      </c>
      <c r="T112" s="68">
        <f t="shared" si="25"/>
        <v>-0.15</v>
      </c>
      <c r="U112" s="69">
        <f t="shared" si="26"/>
        <v>0.3</v>
      </c>
      <c r="V112" s="70">
        <f t="shared" si="27"/>
        <v>0.15</v>
      </c>
      <c r="W112" s="71">
        <f t="shared" si="40"/>
        <v>0.3953571696062218</v>
      </c>
      <c r="X112" s="63">
        <f t="shared" si="41"/>
        <v>0.16497270292646493</v>
      </c>
      <c r="Y112" s="73">
        <f t="shared" si="42"/>
        <v>0.35836189219224757</v>
      </c>
      <c r="Z112" s="74">
        <f t="shared" si="43"/>
        <v>-9.7953681005811654E-3</v>
      </c>
      <c r="AA112" s="74">
        <f t="shared" si="44"/>
        <v>2.2487444560726627E-2</v>
      </c>
      <c r="AB112" s="73">
        <f t="shared" si="45"/>
        <v>0.18229424969990426</v>
      </c>
      <c r="AC112" s="74">
        <f t="shared" si="46"/>
        <v>9.5569109064814611E-2</v>
      </c>
      <c r="AD112" s="74">
        <f t="shared" si="47"/>
        <v>8.5974142171498902E-2</v>
      </c>
      <c r="AE112" s="75">
        <f t="shared" si="36"/>
        <v>2.4878100601609287E-2</v>
      </c>
      <c r="AF112" s="76">
        <f t="shared" si="48"/>
        <v>9.8164393660272751</v>
      </c>
      <c r="AG112" s="77">
        <f t="shared" si="49"/>
        <v>7.7340781083566679</v>
      </c>
    </row>
    <row r="113" spans="1:33" x14ac:dyDescent="0.2">
      <c r="A113" s="2"/>
      <c r="B113" s="68">
        <v>-30</v>
      </c>
      <c r="C113" s="69">
        <v>120</v>
      </c>
      <c r="D113" s="70">
        <v>30</v>
      </c>
      <c r="E113" s="71">
        <v>0.85106000000000004</v>
      </c>
      <c r="F113" s="73">
        <v>0.36437999999999998</v>
      </c>
      <c r="G113" s="73">
        <v>-0.44405</v>
      </c>
      <c r="H113" s="74">
        <v>5.7579999999999999E-2</v>
      </c>
      <c r="I113" s="74">
        <v>0.11973</v>
      </c>
      <c r="J113" s="73">
        <v>0.55305000000000004</v>
      </c>
      <c r="K113" s="74">
        <v>0.63783000000000001</v>
      </c>
      <c r="L113" s="74">
        <v>0.44451000000000002</v>
      </c>
      <c r="M113" s="75">
        <f t="shared" si="39"/>
        <v>0.45514027575000005</v>
      </c>
      <c r="N113" s="76">
        <v>62.75664384615385</v>
      </c>
      <c r="O113" s="77">
        <v>67.513030000000001</v>
      </c>
      <c r="T113" s="68">
        <f t="shared" si="25"/>
        <v>-0.15</v>
      </c>
      <c r="U113" s="69">
        <f t="shared" si="26"/>
        <v>0.6</v>
      </c>
      <c r="V113" s="70">
        <f t="shared" si="27"/>
        <v>0.15</v>
      </c>
      <c r="W113" s="71">
        <f t="shared" si="40"/>
        <v>0.17227621359125039</v>
      </c>
      <c r="X113" s="63">
        <f t="shared" si="41"/>
        <v>7.3759789801400383E-2</v>
      </c>
      <c r="Y113" s="73">
        <f t="shared" si="42"/>
        <v>-8.9887026349722385E-2</v>
      </c>
      <c r="Z113" s="74">
        <f t="shared" si="43"/>
        <v>1.1655658095297859E-2</v>
      </c>
      <c r="AA113" s="74">
        <f t="shared" si="44"/>
        <v>2.423640055140696E-2</v>
      </c>
      <c r="AB113" s="73">
        <f t="shared" si="45"/>
        <v>0.11195140169511084</v>
      </c>
      <c r="AC113" s="74">
        <f t="shared" si="46"/>
        <v>0.12911303235366159</v>
      </c>
      <c r="AD113" s="74">
        <f t="shared" si="47"/>
        <v>8.9980142062189156E-2</v>
      </c>
      <c r="AE113" s="75">
        <f t="shared" si="36"/>
        <v>1.8649858715294735E-2</v>
      </c>
      <c r="AF113" s="76">
        <f t="shared" si="48"/>
        <v>3.444705207754958</v>
      </c>
      <c r="AG113" s="77">
        <f t="shared" si="49"/>
        <v>3.7057827152522229</v>
      </c>
    </row>
    <row r="114" spans="1:33" x14ac:dyDescent="0.2">
      <c r="A114" s="2"/>
      <c r="B114" s="68">
        <v>-30</v>
      </c>
      <c r="C114" s="69">
        <v>180</v>
      </c>
      <c r="D114" s="70">
        <v>30</v>
      </c>
      <c r="E114" s="71">
        <v>2.0036</v>
      </c>
      <c r="F114" s="73">
        <v>0.82325000000000004</v>
      </c>
      <c r="G114" s="73">
        <v>1.7889299999999999</v>
      </c>
      <c r="H114" s="74">
        <v>-2.163E-2</v>
      </c>
      <c r="I114" s="74">
        <v>0.15790999999999999</v>
      </c>
      <c r="J114" s="73">
        <v>0.90986</v>
      </c>
      <c r="K114" s="74">
        <v>0.47865999999999997</v>
      </c>
      <c r="L114" s="74">
        <v>0.44224999999999998</v>
      </c>
      <c r="M114" s="75">
        <f t="shared" si="39"/>
        <v>0.62627283884999996</v>
      </c>
      <c r="N114" s="76">
        <v>6.9010400000000018</v>
      </c>
      <c r="O114" s="77">
        <v>20.157229999999998</v>
      </c>
      <c r="T114" s="68">
        <f t="shared" si="25"/>
        <v>-0.15</v>
      </c>
      <c r="U114" s="69">
        <f t="shared" si="26"/>
        <v>0.9</v>
      </c>
      <c r="V114" s="70">
        <f t="shared" si="27"/>
        <v>0.15</v>
      </c>
      <c r="W114" s="71">
        <f t="shared" si="40"/>
        <v>0.4055796554313788</v>
      </c>
      <c r="X114" s="63">
        <f t="shared" si="41"/>
        <v>0.16664676149624807</v>
      </c>
      <c r="Y114" s="73">
        <f t="shared" si="42"/>
        <v>0.36212498152867661</v>
      </c>
      <c r="Z114" s="74">
        <f t="shared" si="43"/>
        <v>-4.378462740557359E-3</v>
      </c>
      <c r="AA114" s="74">
        <f t="shared" si="44"/>
        <v>3.1965004686149441E-2</v>
      </c>
      <c r="AB114" s="73">
        <f t="shared" si="45"/>
        <v>0.18417883075004707</v>
      </c>
      <c r="AC114" s="74">
        <f t="shared" si="46"/>
        <v>9.6892971585537918E-2</v>
      </c>
      <c r="AD114" s="74">
        <f t="shared" si="47"/>
        <v>8.9522660518330646E-2</v>
      </c>
      <c r="AE114" s="75">
        <f t="shared" si="36"/>
        <v>2.5662198192705311E-2</v>
      </c>
      <c r="AF114" s="76">
        <f t="shared" si="48"/>
        <v>0.37879731881777795</v>
      </c>
      <c r="AG114" s="77">
        <f t="shared" si="49"/>
        <v>1.1064281150077779</v>
      </c>
    </row>
    <row r="115" spans="1:33" x14ac:dyDescent="0.2">
      <c r="A115" s="2"/>
      <c r="B115" s="68">
        <v>-10</v>
      </c>
      <c r="C115" s="69">
        <v>0</v>
      </c>
      <c r="D115" s="70">
        <v>30</v>
      </c>
      <c r="E115" s="71">
        <v>0.98160000000000003</v>
      </c>
      <c r="F115" s="73">
        <v>0.43870999999999999</v>
      </c>
      <c r="G115" s="73">
        <v>-0.38521</v>
      </c>
      <c r="H115" s="74">
        <v>8.022E-2</v>
      </c>
      <c r="I115" s="74">
        <v>-0.30998999999999999</v>
      </c>
      <c r="J115" s="73">
        <v>0.58259000000000005</v>
      </c>
      <c r="K115" s="74">
        <v>0.98482000000000003</v>
      </c>
      <c r="L115" s="74">
        <v>0.47715000000000002</v>
      </c>
      <c r="M115" s="75">
        <f t="shared" si="39"/>
        <v>0.76847683150000012</v>
      </c>
      <c r="N115" s="76">
        <v>207.1210309090909</v>
      </c>
      <c r="O115" s="77">
        <v>83.275360000000006</v>
      </c>
      <c r="T115" s="68">
        <f t="shared" si="25"/>
        <v>-0.05</v>
      </c>
      <c r="U115" s="69">
        <f t="shared" si="26"/>
        <v>0</v>
      </c>
      <c r="V115" s="70">
        <f t="shared" si="27"/>
        <v>0.15</v>
      </c>
      <c r="W115" s="71">
        <f t="shared" si="40"/>
        <v>0.19870083338562661</v>
      </c>
      <c r="X115" s="63">
        <f t="shared" si="41"/>
        <v>8.8806074383260228E-2</v>
      </c>
      <c r="Y115" s="73">
        <f t="shared" si="42"/>
        <v>-7.797631217245031E-2</v>
      </c>
      <c r="Z115" s="74">
        <f t="shared" si="43"/>
        <v>1.6238570552358358E-2</v>
      </c>
      <c r="AA115" s="74">
        <f t="shared" si="44"/>
        <v>-6.2749868929513439E-2</v>
      </c>
      <c r="AB115" s="73">
        <f t="shared" si="45"/>
        <v>0.11793104983917299</v>
      </c>
      <c r="AC115" s="74">
        <f t="shared" si="46"/>
        <v>0.19935264337289405</v>
      </c>
      <c r="AD115" s="74">
        <f t="shared" si="47"/>
        <v>9.6587309138092631E-2</v>
      </c>
      <c r="AE115" s="75">
        <f t="shared" si="36"/>
        <v>3.1489158611233629E-2</v>
      </c>
      <c r="AF115" s="76">
        <f t="shared" si="48"/>
        <v>11.368850373152123</v>
      </c>
      <c r="AG115" s="77">
        <f t="shared" si="49"/>
        <v>4.5709752575822238</v>
      </c>
    </row>
    <row r="116" spans="1:33" x14ac:dyDescent="0.2">
      <c r="A116" s="2"/>
      <c r="B116" s="68">
        <v>30</v>
      </c>
      <c r="C116" s="69">
        <v>-180</v>
      </c>
      <c r="D116" s="70">
        <v>30</v>
      </c>
      <c r="E116" s="71">
        <v>2.0310299999999999</v>
      </c>
      <c r="F116" s="73">
        <v>0.80584</v>
      </c>
      <c r="G116" s="73">
        <v>1.8604400000000001</v>
      </c>
      <c r="H116" s="74">
        <v>-7.3190000000000005E-2</v>
      </c>
      <c r="I116" s="74">
        <v>3.9609999999999999E-2</v>
      </c>
      <c r="J116" s="73">
        <v>0.88185000000000002</v>
      </c>
      <c r="K116" s="74">
        <v>0.40914</v>
      </c>
      <c r="L116" s="74">
        <v>0.40379999999999999</v>
      </c>
      <c r="M116" s="75">
        <f t="shared" si="39"/>
        <v>0.55405470104999999</v>
      </c>
      <c r="N116" s="76">
        <v>23.79327692307692</v>
      </c>
      <c r="O116" s="77">
        <v>31.239080000000001</v>
      </c>
      <c r="T116" s="68">
        <f t="shared" si="25"/>
        <v>0.15</v>
      </c>
      <c r="U116" s="69">
        <f t="shared" si="26"/>
        <v>-0.9</v>
      </c>
      <c r="V116" s="70">
        <f t="shared" si="27"/>
        <v>0.15</v>
      </c>
      <c r="W116" s="71">
        <f t="shared" si="40"/>
        <v>0.41113218585086508</v>
      </c>
      <c r="X116" s="63">
        <f t="shared" si="41"/>
        <v>0.16312253420484243</v>
      </c>
      <c r="Y116" s="73">
        <f t="shared" si="42"/>
        <v>0.37660042630802276</v>
      </c>
      <c r="Z116" s="74">
        <f t="shared" si="43"/>
        <v>-1.4815519555311747E-2</v>
      </c>
      <c r="AA116" s="74">
        <f t="shared" si="44"/>
        <v>8.0180725452370302E-3</v>
      </c>
      <c r="AB116" s="73">
        <f t="shared" si="45"/>
        <v>0.17850889356266791</v>
      </c>
      <c r="AC116" s="74">
        <f t="shared" si="46"/>
        <v>8.2820353475341543E-2</v>
      </c>
      <c r="AD116" s="74">
        <f t="shared" si="47"/>
        <v>8.17394015088794E-2</v>
      </c>
      <c r="AE116" s="75">
        <f t="shared" si="36"/>
        <v>2.2702982894889107E-2</v>
      </c>
      <c r="AF116" s="76">
        <f t="shared" si="48"/>
        <v>1.3060103266102565</v>
      </c>
      <c r="AG116" s="77">
        <f t="shared" si="49"/>
        <v>1.7147096301911116</v>
      </c>
    </row>
    <row r="117" spans="1:33" x14ac:dyDescent="0.2">
      <c r="A117" s="2"/>
      <c r="B117" s="68">
        <v>30</v>
      </c>
      <c r="C117" s="69">
        <v>-60</v>
      </c>
      <c r="D117" s="70">
        <v>30</v>
      </c>
      <c r="E117" s="71">
        <v>2.0298400000000001</v>
      </c>
      <c r="F117" s="73">
        <v>0.82084000000000001</v>
      </c>
      <c r="G117" s="73">
        <v>1.8657999999999999</v>
      </c>
      <c r="H117" s="74">
        <v>-8.8469999999999993E-2</v>
      </c>
      <c r="I117" s="74">
        <v>9.6100000000000005E-3</v>
      </c>
      <c r="J117" s="73">
        <v>0.88882000000000005</v>
      </c>
      <c r="K117" s="74">
        <v>0.41758000000000001</v>
      </c>
      <c r="L117" s="74">
        <v>0.39673000000000003</v>
      </c>
      <c r="M117" s="75">
        <f t="shared" si="39"/>
        <v>0.56088437085000009</v>
      </c>
      <c r="N117" s="76">
        <v>194.94841181818182</v>
      </c>
      <c r="O117" s="77">
        <v>97.230230000000006</v>
      </c>
      <c r="T117" s="68">
        <f t="shared" si="25"/>
        <v>0.15</v>
      </c>
      <c r="U117" s="69">
        <f t="shared" si="26"/>
        <v>-0.3</v>
      </c>
      <c r="V117" s="70">
        <f t="shared" si="27"/>
        <v>0.15</v>
      </c>
      <c r="W117" s="71">
        <f t="shared" si="40"/>
        <v>0.41089129955122278</v>
      </c>
      <c r="X117" s="63">
        <f t="shared" si="41"/>
        <v>0.1661589161331069</v>
      </c>
      <c r="Y117" s="73">
        <f t="shared" si="42"/>
        <v>0.37768542678372258</v>
      </c>
      <c r="Z117" s="74">
        <f t="shared" si="43"/>
        <v>-1.7908580612903815E-2</v>
      </c>
      <c r="AA117" s="74">
        <f t="shared" si="44"/>
        <v>1.9453086887081007E-3</v>
      </c>
      <c r="AB117" s="73">
        <f t="shared" si="45"/>
        <v>0.17991979903200148</v>
      </c>
      <c r="AC117" s="74">
        <f t="shared" si="46"/>
        <v>8.452882437364502E-2</v>
      </c>
      <c r="AD117" s="74">
        <f t="shared" si="47"/>
        <v>8.030825349335742E-2</v>
      </c>
      <c r="AE117" s="75">
        <f t="shared" si="36"/>
        <v>2.2982835906429838E-2</v>
      </c>
      <c r="AF117" s="76">
        <f t="shared" si="48"/>
        <v>10.700696663765356</v>
      </c>
      <c r="AG117" s="77">
        <f t="shared" si="49"/>
        <v>5.3369565213411123</v>
      </c>
    </row>
    <row r="118" spans="1:33" x14ac:dyDescent="0.2">
      <c r="A118" s="2"/>
      <c r="B118" s="68">
        <v>30</v>
      </c>
      <c r="C118" s="69">
        <v>60</v>
      </c>
      <c r="D118" s="70">
        <v>30</v>
      </c>
      <c r="E118" s="71">
        <v>1.9662900000000001</v>
      </c>
      <c r="F118" s="73">
        <v>0.80288999999999999</v>
      </c>
      <c r="G118" s="73">
        <v>1.7939000000000001</v>
      </c>
      <c r="H118" s="74">
        <v>-5.8360000000000002E-2</v>
      </c>
      <c r="I118" s="74">
        <v>2.7380000000000002E-2</v>
      </c>
      <c r="J118" s="73">
        <v>0.87555000000000005</v>
      </c>
      <c r="K118" s="74">
        <v>0.43589</v>
      </c>
      <c r="L118" s="74">
        <v>0.40144999999999997</v>
      </c>
      <c r="M118" s="75">
        <f t="shared" si="39"/>
        <v>0.55887499855000011</v>
      </c>
      <c r="N118" s="76">
        <v>138.86162818181816</v>
      </c>
      <c r="O118" s="77">
        <v>90.470100000000002</v>
      </c>
      <c r="T118" s="68">
        <f t="shared" si="25"/>
        <v>0.15</v>
      </c>
      <c r="U118" s="69">
        <f t="shared" si="26"/>
        <v>0.3</v>
      </c>
      <c r="V118" s="70">
        <f t="shared" si="27"/>
        <v>0.15</v>
      </c>
      <c r="W118" s="71">
        <f t="shared" si="40"/>
        <v>0.39802716144847566</v>
      </c>
      <c r="X118" s="63">
        <f t="shared" si="41"/>
        <v>0.16252537909228376</v>
      </c>
      <c r="Y118" s="73">
        <f t="shared" si="42"/>
        <v>0.36313103607424158</v>
      </c>
      <c r="Z118" s="74">
        <f t="shared" si="43"/>
        <v>-1.1813549955567612E-2</v>
      </c>
      <c r="AA118" s="74">
        <f t="shared" si="44"/>
        <v>5.5424091463920702E-3</v>
      </c>
      <c r="AB118" s="73">
        <f t="shared" si="45"/>
        <v>0.17723361315279684</v>
      </c>
      <c r="AC118" s="74">
        <f t="shared" si="46"/>
        <v>8.8235234580746516E-2</v>
      </c>
      <c r="AD118" s="74">
        <f t="shared" si="47"/>
        <v>8.1263701673451288E-2</v>
      </c>
      <c r="AE118" s="75">
        <f t="shared" si="36"/>
        <v>2.2900499731193152E-2</v>
      </c>
      <c r="AF118" s="76">
        <f t="shared" si="48"/>
        <v>7.6220993418302028</v>
      </c>
      <c r="AG118" s="77">
        <f t="shared" si="49"/>
        <v>4.9658937367666676</v>
      </c>
    </row>
    <row r="119" spans="1:33" x14ac:dyDescent="0.2">
      <c r="A119" s="2"/>
      <c r="B119" s="68">
        <v>30</v>
      </c>
      <c r="C119" s="69">
        <v>180</v>
      </c>
      <c r="D119" s="70">
        <v>30</v>
      </c>
      <c r="E119" s="71">
        <v>1.95502</v>
      </c>
      <c r="F119" s="73">
        <v>0.82920000000000005</v>
      </c>
      <c r="G119" s="73">
        <v>1.7559</v>
      </c>
      <c r="H119" s="74">
        <v>-6.5939999999999999E-2</v>
      </c>
      <c r="I119" s="74">
        <v>4.1980000000000003E-2</v>
      </c>
      <c r="J119" s="73">
        <v>0.91142999999999996</v>
      </c>
      <c r="K119" s="74">
        <v>0.41953000000000001</v>
      </c>
      <c r="L119" s="74">
        <v>0.40866999999999998</v>
      </c>
      <c r="M119" s="75">
        <f t="shared" si="39"/>
        <v>0.58686061734999995</v>
      </c>
      <c r="N119" s="76">
        <v>8.1717915384615409</v>
      </c>
      <c r="O119" s="77">
        <v>17.68178</v>
      </c>
      <c r="T119" s="68">
        <f t="shared" si="25"/>
        <v>0.15</v>
      </c>
      <c r="U119" s="69">
        <f t="shared" si="26"/>
        <v>0.9</v>
      </c>
      <c r="V119" s="70">
        <f t="shared" si="27"/>
        <v>0.15</v>
      </c>
      <c r="W119" s="71">
        <f t="shared" si="40"/>
        <v>0.39574582649303963</v>
      </c>
      <c r="X119" s="63">
        <f t="shared" si="41"/>
        <v>0.16785119299445964</v>
      </c>
      <c r="Y119" s="73">
        <f t="shared" si="42"/>
        <v>0.35543886852263828</v>
      </c>
      <c r="Z119" s="74">
        <f t="shared" si="43"/>
        <v>-1.3347934956650587E-2</v>
      </c>
      <c r="AA119" s="74">
        <f t="shared" si="44"/>
        <v>8.497820889902816E-3</v>
      </c>
      <c r="AB119" s="73">
        <f t="shared" si="45"/>
        <v>0.18449663872520541</v>
      </c>
      <c r="AC119" s="74">
        <f t="shared" si="46"/>
        <v>8.4923554024319406E-2</v>
      </c>
      <c r="AD119" s="74">
        <f t="shared" si="47"/>
        <v>8.2725213508255929E-2</v>
      </c>
      <c r="AE119" s="75">
        <f t="shared" si="36"/>
        <v>2.4047240339503496E-2</v>
      </c>
      <c r="AF119" s="76">
        <f t="shared" si="48"/>
        <v>0.44854872956931646</v>
      </c>
      <c r="AG119" s="77">
        <f t="shared" si="49"/>
        <v>0.97055093955777794</v>
      </c>
    </row>
    <row r="120" spans="1:33" x14ac:dyDescent="0.2">
      <c r="A120" s="2"/>
      <c r="B120" s="89">
        <v>70</v>
      </c>
      <c r="C120" s="90">
        <v>0</v>
      </c>
      <c r="D120" s="91">
        <v>30</v>
      </c>
      <c r="E120" s="92">
        <v>0.64068999999999998</v>
      </c>
      <c r="F120" s="93">
        <v>0.24531</v>
      </c>
      <c r="G120" s="93">
        <v>-0.17573</v>
      </c>
      <c r="H120" s="94">
        <v>-6.114E-2</v>
      </c>
      <c r="I120" s="94">
        <v>0.51615</v>
      </c>
      <c r="J120" s="93">
        <v>0.39627000000000001</v>
      </c>
      <c r="K120" s="94">
        <v>0.55095000000000005</v>
      </c>
      <c r="L120" s="94">
        <v>0.34866000000000003</v>
      </c>
      <c r="M120" s="95">
        <f t="shared" si="39"/>
        <v>0.29106980550000006</v>
      </c>
      <c r="N120" s="96">
        <v>136.63089636363634</v>
      </c>
      <c r="O120" s="97">
        <v>46.645150000000001</v>
      </c>
      <c r="T120" s="68">
        <f t="shared" si="25"/>
        <v>0.35</v>
      </c>
      <c r="U120" s="69">
        <f t="shared" si="26"/>
        <v>0</v>
      </c>
      <c r="V120" s="70">
        <f t="shared" si="27"/>
        <v>0.15</v>
      </c>
      <c r="W120" s="71">
        <f t="shared" si="40"/>
        <v>0.12969196917465067</v>
      </c>
      <c r="X120" s="63">
        <f t="shared" si="41"/>
        <v>4.9656990054837064E-2</v>
      </c>
      <c r="Y120" s="73">
        <f t="shared" si="42"/>
        <v>-3.557222641692763E-2</v>
      </c>
      <c r="Z120" s="74">
        <f t="shared" si="43"/>
        <v>-1.2376292739605959E-2</v>
      </c>
      <c r="AA120" s="74">
        <f t="shared" si="44"/>
        <v>0.10448190215158024</v>
      </c>
      <c r="AB120" s="73">
        <f t="shared" si="45"/>
        <v>8.0215137780890636E-2</v>
      </c>
      <c r="AC120" s="74">
        <f t="shared" si="46"/>
        <v>0.11152630822515382</v>
      </c>
      <c r="AD120" s="74">
        <f t="shared" si="47"/>
        <v>7.0577661540579234E-2</v>
      </c>
      <c r="AE120" s="75">
        <f t="shared" si="36"/>
        <v>1.1926896032037919E-2</v>
      </c>
      <c r="AF120" s="76">
        <f t="shared" si="48"/>
        <v>7.4996547201892927</v>
      </c>
      <c r="AG120" s="77">
        <f t="shared" si="49"/>
        <v>2.560347100705556</v>
      </c>
    </row>
    <row r="121" spans="1:33" x14ac:dyDescent="0.2">
      <c r="A121" s="2"/>
      <c r="B121" s="89">
        <v>90</v>
      </c>
      <c r="C121" s="90">
        <v>-180</v>
      </c>
      <c r="D121" s="91">
        <v>30</v>
      </c>
      <c r="E121" s="92">
        <v>1.8766799999999999</v>
      </c>
      <c r="F121" s="93">
        <v>0.81981999999999999</v>
      </c>
      <c r="G121" s="93">
        <v>1.7014899999999999</v>
      </c>
      <c r="H121" s="94">
        <v>-8.9270000000000002E-2</v>
      </c>
      <c r="I121" s="94">
        <v>9.6769999999999995E-2</v>
      </c>
      <c r="J121" s="93">
        <v>0.90212999999999999</v>
      </c>
      <c r="K121" s="94">
        <v>0.46007999999999999</v>
      </c>
      <c r="L121" s="94">
        <v>0.43852000000000002</v>
      </c>
      <c r="M121" s="95">
        <f t="shared" si="39"/>
        <v>0.60890596684999998</v>
      </c>
      <c r="N121" s="96">
        <v>18.42210230769231</v>
      </c>
      <c r="O121" s="97">
        <v>21.900639999999999</v>
      </c>
      <c r="T121" s="68">
        <f t="shared" si="25"/>
        <v>0.45</v>
      </c>
      <c r="U121" s="69">
        <f t="shared" si="26"/>
        <v>-0.9</v>
      </c>
      <c r="V121" s="70">
        <f t="shared" si="27"/>
        <v>0.15</v>
      </c>
      <c r="W121" s="71">
        <f t="shared" si="40"/>
        <v>0.37988781580902375</v>
      </c>
      <c r="X121" s="63">
        <f t="shared" si="41"/>
        <v>0.1659524421619849</v>
      </c>
      <c r="Y121" s="73">
        <f t="shared" si="42"/>
        <v>0.34442489914151364</v>
      </c>
      <c r="Z121" s="74">
        <f t="shared" si="43"/>
        <v>-1.8070520982411253E-2</v>
      </c>
      <c r="AA121" s="74">
        <f t="shared" si="44"/>
        <v>1.9588711946543484E-2</v>
      </c>
      <c r="AB121" s="73">
        <f t="shared" si="45"/>
        <v>0.18261408192968145</v>
      </c>
      <c r="AC121" s="74">
        <f t="shared" si="46"/>
        <v>9.3131906503727671E-2</v>
      </c>
      <c r="AD121" s="74">
        <f t="shared" si="47"/>
        <v>8.8767613545502222E-2</v>
      </c>
      <c r="AE121" s="75">
        <f t="shared" si="36"/>
        <v>2.4950572071301556E-2</v>
      </c>
      <c r="AF121" s="76">
        <f t="shared" si="48"/>
        <v>1.0111871487689748</v>
      </c>
      <c r="AG121" s="77">
        <f t="shared" si="49"/>
        <v>1.2021236961955557</v>
      </c>
    </row>
    <row r="122" spans="1:33" x14ac:dyDescent="0.2">
      <c r="A122" s="2"/>
      <c r="B122" s="89">
        <v>90</v>
      </c>
      <c r="C122" s="90">
        <v>-120</v>
      </c>
      <c r="D122" s="91">
        <v>30</v>
      </c>
      <c r="E122" s="92">
        <v>0.80628999999999995</v>
      </c>
      <c r="F122" s="93">
        <v>0.34339999999999998</v>
      </c>
      <c r="G122" s="93">
        <v>-0.34981000000000001</v>
      </c>
      <c r="H122" s="94">
        <v>2.8900000000000002E-3</v>
      </c>
      <c r="I122" s="94">
        <v>0.17946000000000001</v>
      </c>
      <c r="J122" s="93">
        <v>0.53710999999999998</v>
      </c>
      <c r="K122" s="94">
        <v>0.62700999999999996</v>
      </c>
      <c r="L122" s="94">
        <v>0.44068000000000002</v>
      </c>
      <c r="M122" s="95">
        <f t="shared" si="39"/>
        <v>0.43791377729999992</v>
      </c>
      <c r="N122" s="96">
        <v>84.863074615384619</v>
      </c>
      <c r="O122" s="97">
        <v>48.645189999999999</v>
      </c>
      <c r="T122" s="68">
        <f t="shared" si="25"/>
        <v>0.45</v>
      </c>
      <c r="U122" s="69">
        <f t="shared" si="26"/>
        <v>-0.6</v>
      </c>
      <c r="V122" s="70">
        <f t="shared" si="27"/>
        <v>0.15</v>
      </c>
      <c r="W122" s="71">
        <f t="shared" si="40"/>
        <v>0.16321362566269035</v>
      </c>
      <c r="X122" s="63">
        <f t="shared" si="41"/>
        <v>6.9512903611067822E-2</v>
      </c>
      <c r="Y122" s="73">
        <f t="shared" si="42"/>
        <v>-7.0810450821746168E-2</v>
      </c>
      <c r="Z122" s="74">
        <f t="shared" si="43"/>
        <v>5.8500958484562033E-4</v>
      </c>
      <c r="AA122" s="74">
        <f t="shared" si="44"/>
        <v>3.6327273389756061E-2</v>
      </c>
      <c r="AB122" s="73">
        <f t="shared" si="45"/>
        <v>0.10872473983267511</v>
      </c>
      <c r="AC122" s="74">
        <f t="shared" si="46"/>
        <v>0.12692278885607347</v>
      </c>
      <c r="AD122" s="74">
        <f t="shared" si="47"/>
        <v>8.92048525431723E-2</v>
      </c>
      <c r="AE122" s="75">
        <f t="shared" si="36"/>
        <v>1.7943984549967706E-2</v>
      </c>
      <c r="AF122" s="76">
        <f t="shared" si="48"/>
        <v>4.6581247364079497</v>
      </c>
      <c r="AG122" s="77">
        <f t="shared" si="49"/>
        <v>2.6701290740788894</v>
      </c>
    </row>
    <row r="123" spans="1:33" x14ac:dyDescent="0.2">
      <c r="A123" s="2"/>
      <c r="B123" s="89">
        <v>90</v>
      </c>
      <c r="C123" s="90">
        <v>-60</v>
      </c>
      <c r="D123" s="91">
        <v>30</v>
      </c>
      <c r="E123" s="92">
        <v>1.9472100000000001</v>
      </c>
      <c r="F123" s="93">
        <v>0.81850999999999996</v>
      </c>
      <c r="G123" s="93">
        <v>1.7662100000000001</v>
      </c>
      <c r="H123" s="94">
        <v>-6.9940000000000002E-2</v>
      </c>
      <c r="I123" s="94">
        <v>9.1120000000000007E-2</v>
      </c>
      <c r="J123" s="93">
        <v>0.89546999999999999</v>
      </c>
      <c r="K123" s="94">
        <v>0.45490000000000003</v>
      </c>
      <c r="L123" s="94">
        <v>0.43429000000000001</v>
      </c>
      <c r="M123" s="95">
        <f t="shared" si="39"/>
        <v>0.5987041675</v>
      </c>
      <c r="N123" s="96">
        <v>151.22913363636363</v>
      </c>
      <c r="O123" s="97">
        <v>73.041110000000003</v>
      </c>
      <c r="T123" s="68">
        <f t="shared" si="25"/>
        <v>0.45</v>
      </c>
      <c r="U123" s="69">
        <f t="shared" si="26"/>
        <v>-0.3</v>
      </c>
      <c r="V123" s="70">
        <f t="shared" si="27"/>
        <v>0.15</v>
      </c>
      <c r="W123" s="71">
        <f t="shared" si="40"/>
        <v>0.39416488363572327</v>
      </c>
      <c r="X123" s="63">
        <f t="shared" si="41"/>
        <v>0.16568726480691648</v>
      </c>
      <c r="Y123" s="73">
        <f t="shared" si="42"/>
        <v>0.35752587503466537</v>
      </c>
      <c r="Z123" s="74">
        <f t="shared" si="43"/>
        <v>-1.415763680418778E-2</v>
      </c>
      <c r="AA123" s="74">
        <f t="shared" si="44"/>
        <v>1.8445008086897204E-2</v>
      </c>
      <c r="AB123" s="73">
        <f t="shared" si="45"/>
        <v>0.18126592835353203</v>
      </c>
      <c r="AC123" s="74">
        <f t="shared" si="46"/>
        <v>9.2083342611167018E-2</v>
      </c>
      <c r="AD123" s="74">
        <f t="shared" si="47"/>
        <v>8.791135384173164E-2</v>
      </c>
      <c r="AE123" s="75">
        <f t="shared" si="36"/>
        <v>2.4532542451299759E-2</v>
      </c>
      <c r="AF123" s="76">
        <f t="shared" si="48"/>
        <v>8.3009503420629311</v>
      </c>
      <c r="AG123" s="77">
        <f t="shared" si="49"/>
        <v>4.0092184122211121</v>
      </c>
    </row>
    <row r="124" spans="1:33" x14ac:dyDescent="0.2">
      <c r="A124" s="2"/>
      <c r="B124" s="89">
        <v>90</v>
      </c>
      <c r="C124" s="90">
        <v>0</v>
      </c>
      <c r="D124" s="91">
        <v>30</v>
      </c>
      <c r="E124" s="92">
        <v>0.82482</v>
      </c>
      <c r="F124" s="93">
        <v>0.36077999999999999</v>
      </c>
      <c r="G124" s="93">
        <v>-0.4219</v>
      </c>
      <c r="H124" s="94">
        <v>6.3930000000000001E-2</v>
      </c>
      <c r="I124" s="94">
        <v>0.13719999999999999</v>
      </c>
      <c r="J124" s="93">
        <v>0.54742000000000002</v>
      </c>
      <c r="K124" s="94">
        <v>0.63871</v>
      </c>
      <c r="L124" s="94">
        <v>0.43612000000000001</v>
      </c>
      <c r="M124" s="95">
        <f t="shared" si="39"/>
        <v>0.44890988744999999</v>
      </c>
      <c r="N124" s="96">
        <v>134.65206363636364</v>
      </c>
      <c r="O124" s="97">
        <v>41.086300000000001</v>
      </c>
      <c r="T124" s="68">
        <f t="shared" si="25"/>
        <v>0.45</v>
      </c>
      <c r="U124" s="69">
        <f t="shared" si="26"/>
        <v>0</v>
      </c>
      <c r="V124" s="70">
        <f t="shared" si="27"/>
        <v>0.15</v>
      </c>
      <c r="W124" s="71">
        <f t="shared" si="40"/>
        <v>0.16696456947140639</v>
      </c>
      <c r="X124" s="63">
        <f t="shared" si="41"/>
        <v>7.3031058138616906E-2</v>
      </c>
      <c r="Y124" s="73">
        <f t="shared" si="42"/>
        <v>-8.540330236898519E-2</v>
      </c>
      <c r="Z124" s="74">
        <f t="shared" si="43"/>
        <v>1.294105977826315E-2</v>
      </c>
      <c r="AA124" s="74">
        <f t="shared" si="44"/>
        <v>2.7772773370525639E-2</v>
      </c>
      <c r="AB124" s="73">
        <f t="shared" si="45"/>
        <v>0.11081174634470223</v>
      </c>
      <c r="AC124" s="74">
        <f t="shared" si="46"/>
        <v>0.12929116676011976</v>
      </c>
      <c r="AD124" s="74">
        <f t="shared" si="47"/>
        <v>8.8281792436979895E-2</v>
      </c>
      <c r="AE124" s="75">
        <f t="shared" si="36"/>
        <v>1.8394561903020863E-2</v>
      </c>
      <c r="AF124" s="76">
        <f t="shared" si="48"/>
        <v>7.391036811659597</v>
      </c>
      <c r="AG124" s="77">
        <f t="shared" si="49"/>
        <v>2.255222441855556</v>
      </c>
    </row>
    <row r="125" spans="1:33" x14ac:dyDescent="0.2">
      <c r="A125" s="2"/>
      <c r="B125" s="89">
        <v>90</v>
      </c>
      <c r="C125" s="90">
        <v>60</v>
      </c>
      <c r="D125" s="91">
        <v>30</v>
      </c>
      <c r="E125" s="92">
        <v>1.8946799999999999</v>
      </c>
      <c r="F125" s="93">
        <v>0.79935</v>
      </c>
      <c r="G125" s="93">
        <v>1.6934199999999999</v>
      </c>
      <c r="H125" s="94">
        <v>-6.019E-2</v>
      </c>
      <c r="I125" s="94">
        <v>8.9749999999999996E-2</v>
      </c>
      <c r="J125" s="93">
        <v>0.87995000000000001</v>
      </c>
      <c r="K125" s="94">
        <v>0.47183999999999998</v>
      </c>
      <c r="L125" s="94">
        <v>0.42576000000000003</v>
      </c>
      <c r="M125" s="95">
        <f t="shared" si="39"/>
        <v>0.58910828285000005</v>
      </c>
      <c r="N125" s="96">
        <v>117.16120636363638</v>
      </c>
      <c r="O125" s="97">
        <v>69.772540000000006</v>
      </c>
      <c r="T125" s="68">
        <f t="shared" si="25"/>
        <v>0.45</v>
      </c>
      <c r="U125" s="69">
        <f t="shared" si="26"/>
        <v>0.3</v>
      </c>
      <c r="V125" s="70">
        <f t="shared" si="27"/>
        <v>0.15</v>
      </c>
      <c r="W125" s="71">
        <f t="shared" si="40"/>
        <v>0.38353147412294109</v>
      </c>
      <c r="X125" s="63">
        <f t="shared" si="41"/>
        <v>0.16180879295721334</v>
      </c>
      <c r="Y125" s="73">
        <f t="shared" si="42"/>
        <v>0.34279132566410736</v>
      </c>
      <c r="Z125" s="74">
        <f t="shared" si="43"/>
        <v>-1.2183988550815877E-2</v>
      </c>
      <c r="AA125" s="74">
        <f t="shared" si="44"/>
        <v>1.8167685204115717E-2</v>
      </c>
      <c r="AB125" s="73">
        <f t="shared" si="45"/>
        <v>0.17812428518508774</v>
      </c>
      <c r="AC125" s="74">
        <f t="shared" si="46"/>
        <v>9.5512429935487003E-2</v>
      </c>
      <c r="AD125" s="74">
        <f t="shared" si="47"/>
        <v>8.6184664651858575E-2</v>
      </c>
      <c r="AE125" s="75">
        <f t="shared" si="36"/>
        <v>2.4139340833016554E-2</v>
      </c>
      <c r="AF125" s="76">
        <f t="shared" si="48"/>
        <v>6.430965599388184</v>
      </c>
      <c r="AG125" s="77">
        <f t="shared" si="49"/>
        <v>3.8298069680955567</v>
      </c>
    </row>
    <row r="126" spans="1:33" x14ac:dyDescent="0.2">
      <c r="A126" s="2"/>
      <c r="B126" s="89">
        <v>90</v>
      </c>
      <c r="C126" s="90">
        <v>120</v>
      </c>
      <c r="D126" s="91">
        <v>30</v>
      </c>
      <c r="E126" s="92">
        <v>0.82640000000000002</v>
      </c>
      <c r="F126" s="93">
        <v>0.35609000000000002</v>
      </c>
      <c r="G126" s="93">
        <v>-0.40261000000000002</v>
      </c>
      <c r="H126" s="94">
        <v>7.2669999999999998E-2</v>
      </c>
      <c r="I126" s="94">
        <v>0.15640000000000001</v>
      </c>
      <c r="J126" s="93">
        <v>0.54362999999999995</v>
      </c>
      <c r="K126" s="94">
        <v>0.63788</v>
      </c>
      <c r="L126" s="94">
        <v>0.44697999999999999</v>
      </c>
      <c r="M126" s="95">
        <f t="shared" si="39"/>
        <v>0.45110779584999994</v>
      </c>
      <c r="N126" s="96">
        <v>51.222920769230768</v>
      </c>
      <c r="O126" s="97">
        <v>40.880740000000003</v>
      </c>
      <c r="T126" s="68">
        <f t="shared" si="25"/>
        <v>0.45</v>
      </c>
      <c r="U126" s="69">
        <f t="shared" si="26"/>
        <v>0.6</v>
      </c>
      <c r="V126" s="70">
        <f t="shared" si="27"/>
        <v>0.15</v>
      </c>
      <c r="W126" s="71">
        <f t="shared" si="40"/>
        <v>0.16728440170118361</v>
      </c>
      <c r="X126" s="63">
        <f t="shared" si="41"/>
        <v>7.2081682722379567E-2</v>
      </c>
      <c r="Y126" s="73">
        <f t="shared" si="42"/>
        <v>-8.1498515209237093E-2</v>
      </c>
      <c r="Z126" s="74">
        <f t="shared" si="43"/>
        <v>1.4710258315131911E-2</v>
      </c>
      <c r="AA126" s="74">
        <f t="shared" si="44"/>
        <v>3.1659342238704161E-2</v>
      </c>
      <c r="AB126" s="73">
        <f t="shared" si="45"/>
        <v>0.11004455384416073</v>
      </c>
      <c r="AC126" s="74">
        <f t="shared" si="46"/>
        <v>0.1291231536267558</v>
      </c>
      <c r="AD126" s="74">
        <f t="shared" si="47"/>
        <v>9.0480132953043371E-2</v>
      </c>
      <c r="AE126" s="75">
        <f t="shared" si="36"/>
        <v>1.8484623546239785E-2</v>
      </c>
      <c r="AF126" s="76">
        <f t="shared" si="48"/>
        <v>2.8116204295874363</v>
      </c>
      <c r="AG126" s="77">
        <f t="shared" si="49"/>
        <v>2.2439392762955563</v>
      </c>
    </row>
    <row r="127" spans="1:33" x14ac:dyDescent="0.2">
      <c r="A127" s="2"/>
      <c r="B127" s="89">
        <v>90</v>
      </c>
      <c r="C127" s="90">
        <v>180</v>
      </c>
      <c r="D127" s="91">
        <v>30</v>
      </c>
      <c r="E127" s="92">
        <v>1.9598800000000001</v>
      </c>
      <c r="F127" s="93">
        <v>0.82162000000000002</v>
      </c>
      <c r="G127" s="93">
        <v>1.7385999999999999</v>
      </c>
      <c r="H127" s="94">
        <v>-9.8099999999999993E-3</v>
      </c>
      <c r="I127" s="94">
        <v>0.12969</v>
      </c>
      <c r="J127" s="93">
        <v>0.91281000000000001</v>
      </c>
      <c r="K127" s="94">
        <v>0.49686000000000002</v>
      </c>
      <c r="L127" s="94">
        <v>0.45107000000000003</v>
      </c>
      <c r="M127" s="95">
        <f t="shared" si="39"/>
        <v>0.64177805030000001</v>
      </c>
      <c r="N127" s="96">
        <v>11.239686923076924</v>
      </c>
      <c r="O127" s="97">
        <v>18.307020000000001</v>
      </c>
      <c r="T127" s="68">
        <f t="shared" si="25"/>
        <v>0.45</v>
      </c>
      <c r="U127" s="69">
        <f t="shared" si="26"/>
        <v>0.9</v>
      </c>
      <c r="V127" s="70">
        <f t="shared" si="27"/>
        <v>0.15</v>
      </c>
      <c r="W127" s="71">
        <f t="shared" si="40"/>
        <v>0.39672961423779735</v>
      </c>
      <c r="X127" s="63">
        <f t="shared" si="41"/>
        <v>0.16631680799337664</v>
      </c>
      <c r="Y127" s="73">
        <f t="shared" si="42"/>
        <v>0.35193690803203992</v>
      </c>
      <c r="Z127" s="74">
        <f t="shared" si="43"/>
        <v>-1.9857937810849602E-3</v>
      </c>
      <c r="AA127" s="74">
        <f t="shared" si="44"/>
        <v>2.6252558151774564E-2</v>
      </c>
      <c r="AB127" s="73">
        <f t="shared" si="45"/>
        <v>0.18477598586260577</v>
      </c>
      <c r="AC127" s="74">
        <f t="shared" si="46"/>
        <v>0.10057711499183214</v>
      </c>
      <c r="AD127" s="74">
        <f t="shared" si="47"/>
        <v>9.1308053092150149E-2</v>
      </c>
      <c r="AE127" s="75">
        <f t="shared" si="36"/>
        <v>2.6297540785528511E-2</v>
      </c>
      <c r="AF127" s="76">
        <f t="shared" si="48"/>
        <v>0.61694516635358987</v>
      </c>
      <c r="AG127" s="77">
        <f t="shared" si="49"/>
        <v>1.0048702936866669</v>
      </c>
    </row>
    <row r="128" spans="1:33" x14ac:dyDescent="0.2">
      <c r="A128" s="2"/>
      <c r="B128" s="89">
        <v>110</v>
      </c>
      <c r="C128" s="90">
        <v>0</v>
      </c>
      <c r="D128" s="91">
        <v>30</v>
      </c>
      <c r="E128" s="92">
        <v>0.98960999999999999</v>
      </c>
      <c r="F128" s="93">
        <v>0.44247999999999998</v>
      </c>
      <c r="G128" s="93">
        <v>-0.35810999999999998</v>
      </c>
      <c r="H128" s="94">
        <v>0.10852000000000001</v>
      </c>
      <c r="I128" s="94">
        <v>-0.29303000000000001</v>
      </c>
      <c r="J128" s="93">
        <v>0.55422000000000005</v>
      </c>
      <c r="K128" s="94">
        <v>0.98982999999999999</v>
      </c>
      <c r="L128" s="94">
        <v>0.46626000000000001</v>
      </c>
      <c r="M128" s="95">
        <f t="shared" si="39"/>
        <v>0.7521608124500001</v>
      </c>
      <c r="N128" s="96">
        <v>120.15913999999999</v>
      </c>
      <c r="O128" s="97">
        <v>43.012030000000003</v>
      </c>
      <c r="T128" s="68">
        <f t="shared" si="25"/>
        <v>0.55000000000000004</v>
      </c>
      <c r="U128" s="69">
        <f t="shared" si="26"/>
        <v>0</v>
      </c>
      <c r="V128" s="70">
        <f t="shared" si="27"/>
        <v>0.15</v>
      </c>
      <c r="W128" s="71">
        <f t="shared" si="40"/>
        <v>0.2003222613353198</v>
      </c>
      <c r="X128" s="63">
        <f t="shared" si="41"/>
        <v>8.9569218374564025E-2</v>
      </c>
      <c r="Y128" s="73">
        <f t="shared" si="42"/>
        <v>-7.2490582155385841E-2</v>
      </c>
      <c r="Z128" s="74">
        <f t="shared" si="43"/>
        <v>2.1967211123683984E-2</v>
      </c>
      <c r="AA128" s="74">
        <f t="shared" si="44"/>
        <v>-5.9316733095955747E-2</v>
      </c>
      <c r="AB128" s="73">
        <f t="shared" si="45"/>
        <v>0.11218823948551547</v>
      </c>
      <c r="AC128" s="74">
        <f t="shared" si="46"/>
        <v>0.20036679493693435</v>
      </c>
      <c r="AD128" s="74">
        <f t="shared" si="47"/>
        <v>9.4382895858172638E-2</v>
      </c>
      <c r="AE128" s="75">
        <f t="shared" si="36"/>
        <v>3.0820592311366773E-2</v>
      </c>
      <c r="AF128" s="76">
        <f t="shared" si="48"/>
        <v>6.5955218435844456</v>
      </c>
      <c r="AG128" s="77">
        <f t="shared" si="49"/>
        <v>2.360925547585556</v>
      </c>
    </row>
    <row r="129" spans="1:33" x14ac:dyDescent="0.2">
      <c r="A129" s="2"/>
      <c r="B129" s="89">
        <v>150</v>
      </c>
      <c r="C129" s="90">
        <v>-180</v>
      </c>
      <c r="D129" s="91">
        <v>30</v>
      </c>
      <c r="E129" s="92">
        <v>1.96123</v>
      </c>
      <c r="F129" s="93">
        <v>0.81949000000000005</v>
      </c>
      <c r="G129" s="93">
        <v>1.81806</v>
      </c>
      <c r="H129" s="94">
        <v>-0.10113</v>
      </c>
      <c r="I129" s="94">
        <v>-3.1130000000000001E-2</v>
      </c>
      <c r="J129" s="93">
        <v>0.88524000000000003</v>
      </c>
      <c r="K129" s="94">
        <v>0.40908</v>
      </c>
      <c r="L129" s="94">
        <v>0.42079</v>
      </c>
      <c r="M129" s="95">
        <f t="shared" si="39"/>
        <v>0.56403026405000001</v>
      </c>
      <c r="N129" s="96">
        <v>24.411967692307694</v>
      </c>
      <c r="O129" s="97">
        <v>23.657509999999998</v>
      </c>
      <c r="T129" s="68">
        <f t="shared" si="25"/>
        <v>0.75</v>
      </c>
      <c r="U129" s="69">
        <f t="shared" si="26"/>
        <v>-0.9</v>
      </c>
      <c r="V129" s="70">
        <f t="shared" si="27"/>
        <v>0.15</v>
      </c>
      <c r="W129" s="71">
        <f t="shared" si="40"/>
        <v>0.39700288861134114</v>
      </c>
      <c r="X129" s="63">
        <f t="shared" si="41"/>
        <v>0.16588564175956311</v>
      </c>
      <c r="Y129" s="73">
        <f t="shared" si="42"/>
        <v>0.36802163523336623</v>
      </c>
      <c r="Z129" s="74">
        <f t="shared" si="43"/>
        <v>-2.0471286960359023E-2</v>
      </c>
      <c r="AA129" s="74">
        <f t="shared" si="44"/>
        <v>-6.3015046284581868E-3</v>
      </c>
      <c r="AB129" s="73">
        <f t="shared" si="45"/>
        <v>0.17919511587845569</v>
      </c>
      <c r="AC129" s="74">
        <f t="shared" si="46"/>
        <v>8.2808207947628484E-2</v>
      </c>
      <c r="AD129" s="74">
        <f t="shared" si="47"/>
        <v>8.5178610106293615E-2</v>
      </c>
      <c r="AE129" s="75">
        <f t="shared" si="36"/>
        <v>2.3111742238915413E-2</v>
      </c>
      <c r="AF129" s="76">
        <f t="shared" si="48"/>
        <v>1.3399701941899149</v>
      </c>
      <c r="AG129" s="77">
        <f t="shared" si="49"/>
        <v>1.298558095287778</v>
      </c>
    </row>
    <row r="130" spans="1:33" x14ac:dyDescent="0.2">
      <c r="A130" s="2"/>
      <c r="B130" s="89">
        <v>150</v>
      </c>
      <c r="C130" s="90">
        <v>-60</v>
      </c>
      <c r="D130" s="91">
        <v>30</v>
      </c>
      <c r="E130" s="92">
        <v>1.9858899999999999</v>
      </c>
      <c r="F130" s="93">
        <v>0.83001999999999998</v>
      </c>
      <c r="G130" s="93">
        <v>1.80552</v>
      </c>
      <c r="H130" s="94">
        <v>-4.8579999999999998E-2</v>
      </c>
      <c r="I130" s="94">
        <v>7.7200000000000003E-3</v>
      </c>
      <c r="J130" s="93">
        <v>0.89380000000000004</v>
      </c>
      <c r="K130" s="94">
        <v>0.41970000000000002</v>
      </c>
      <c r="L130" s="94">
        <v>0.40523999999999999</v>
      </c>
      <c r="M130" s="95">
        <f t="shared" si="39"/>
        <v>0.56962299380000003</v>
      </c>
      <c r="N130" s="96">
        <v>127.45802999999999</v>
      </c>
      <c r="O130" s="97">
        <v>55.059049999999999</v>
      </c>
      <c r="T130" s="68">
        <f t="shared" si="25"/>
        <v>0.75</v>
      </c>
      <c r="U130" s="69">
        <f t="shared" si="26"/>
        <v>-0.3</v>
      </c>
      <c r="V130" s="70">
        <f t="shared" si="27"/>
        <v>0.15</v>
      </c>
      <c r="W130" s="71">
        <f t="shared" si="40"/>
        <v>0.4019947005014079</v>
      </c>
      <c r="X130" s="63">
        <f t="shared" si="41"/>
        <v>0.16801718187320475</v>
      </c>
      <c r="Y130" s="73">
        <f t="shared" si="42"/>
        <v>0.36548321994133715</v>
      </c>
      <c r="Z130" s="74">
        <f t="shared" si="43"/>
        <v>-9.83382893833918E-3</v>
      </c>
      <c r="AA130" s="74">
        <f t="shared" si="44"/>
        <v>1.5627245657467781E-3</v>
      </c>
      <c r="AB130" s="73">
        <f t="shared" si="45"/>
        <v>0.18092787783218525</v>
      </c>
      <c r="AC130" s="74">
        <f t="shared" si="46"/>
        <v>8.4957966352839739E-2</v>
      </c>
      <c r="AD130" s="74">
        <f t="shared" si="47"/>
        <v>8.2030894173992785E-2</v>
      </c>
      <c r="AE130" s="75">
        <f t="shared" si="36"/>
        <v>2.3340910311326603E-2</v>
      </c>
      <c r="AF130" s="76">
        <f t="shared" si="48"/>
        <v>6.9961571046966675</v>
      </c>
      <c r="AG130" s="77">
        <f t="shared" si="49"/>
        <v>3.0221851368277783</v>
      </c>
    </row>
    <row r="131" spans="1:33" x14ac:dyDescent="0.2">
      <c r="A131" s="2"/>
      <c r="B131" s="89">
        <v>150</v>
      </c>
      <c r="C131" s="90">
        <v>60</v>
      </c>
      <c r="D131" s="91">
        <v>30</v>
      </c>
      <c r="E131" s="92">
        <v>1.9846299999999999</v>
      </c>
      <c r="F131" s="93">
        <v>0.83880999999999994</v>
      </c>
      <c r="G131" s="93">
        <v>1.7976799999999999</v>
      </c>
      <c r="H131" s="94">
        <v>-5.4870000000000002E-2</v>
      </c>
      <c r="I131" s="94">
        <v>-7.0299999999999998E-3</v>
      </c>
      <c r="J131" s="93">
        <v>0.91025</v>
      </c>
      <c r="K131" s="94">
        <v>0.41571000000000002</v>
      </c>
      <c r="L131" s="94">
        <v>0.41785</v>
      </c>
      <c r="M131" s="95">
        <f t="shared" si="39"/>
        <v>0.58798424454999998</v>
      </c>
      <c r="N131" s="96">
        <v>101.37709727272727</v>
      </c>
      <c r="O131" s="97">
        <v>54.27863</v>
      </c>
      <c r="T131" s="68">
        <f t="shared" si="25"/>
        <v>0.75</v>
      </c>
      <c r="U131" s="69">
        <f t="shared" si="26"/>
        <v>0.3</v>
      </c>
      <c r="V131" s="70">
        <f t="shared" si="27"/>
        <v>0.15</v>
      </c>
      <c r="W131" s="71">
        <f t="shared" si="40"/>
        <v>0.40173964441943366</v>
      </c>
      <c r="X131" s="63">
        <f t="shared" si="41"/>
        <v>0.16979650168316771</v>
      </c>
      <c r="Y131" s="73">
        <f t="shared" si="42"/>
        <v>0.36389620432016423</v>
      </c>
      <c r="Z131" s="74">
        <f t="shared" si="43"/>
        <v>-1.1107085093591413E-2</v>
      </c>
      <c r="AA131" s="74">
        <f t="shared" si="44"/>
        <v>-1.4230509970466125E-3</v>
      </c>
      <c r="AB131" s="73">
        <f t="shared" si="45"/>
        <v>0.18425777668018195</v>
      </c>
      <c r="AC131" s="74">
        <f t="shared" si="46"/>
        <v>8.4150288759921393E-2</v>
      </c>
      <c r="AD131" s="74">
        <f t="shared" si="47"/>
        <v>8.4583479248353785E-2</v>
      </c>
      <c r="AE131" s="75">
        <f t="shared" si="36"/>
        <v>2.4093282163629326E-2</v>
      </c>
      <c r="AF131" s="76">
        <f t="shared" si="48"/>
        <v>5.5645776051780818</v>
      </c>
      <c r="AG131" s="77">
        <f t="shared" si="49"/>
        <v>2.9793479697411116</v>
      </c>
    </row>
    <row r="132" spans="1:33" x14ac:dyDescent="0.2">
      <c r="A132" s="2"/>
      <c r="B132" s="89">
        <v>150</v>
      </c>
      <c r="C132" s="90">
        <v>180</v>
      </c>
      <c r="D132" s="91">
        <v>30</v>
      </c>
      <c r="E132" s="92">
        <v>1.9662299999999999</v>
      </c>
      <c r="F132" s="93">
        <v>0.83506999999999998</v>
      </c>
      <c r="G132" s="93">
        <v>1.75576</v>
      </c>
      <c r="H132" s="94">
        <v>-6.1350000000000002E-2</v>
      </c>
      <c r="I132" s="94">
        <v>2.6069999999999999E-2</v>
      </c>
      <c r="J132" s="93">
        <v>0.91186999999999996</v>
      </c>
      <c r="K132" s="94">
        <v>0.41754999999999998</v>
      </c>
      <c r="L132" s="94">
        <v>0.43703999999999998</v>
      </c>
      <c r="M132" s="95">
        <f t="shared" si="39"/>
        <v>0.59842943049999997</v>
      </c>
      <c r="N132" s="96">
        <v>10.586236153846155</v>
      </c>
      <c r="O132" s="97">
        <v>15.0869</v>
      </c>
      <c r="T132" s="68">
        <f t="shared" ref="T132:T195" si="50">B132/200</f>
        <v>0.75</v>
      </c>
      <c r="U132" s="69">
        <f t="shared" ref="U132:U195" si="51">C132/200</f>
        <v>0.9</v>
      </c>
      <c r="V132" s="70">
        <f t="shared" ref="V132:V195" si="52">D132/200</f>
        <v>0.15</v>
      </c>
      <c r="W132" s="71">
        <f t="shared" ref="W132:W163" si="53">E132/$R$8</f>
        <v>0.3980150159207626</v>
      </c>
      <c r="X132" s="63">
        <f t="shared" ref="X132:X163" si="54">F132/$R$8</f>
        <v>0.16903943045572045</v>
      </c>
      <c r="Y132" s="73">
        <f t="shared" ref="Y132:Y163" si="55">G132/$R$8</f>
        <v>0.35541052895797448</v>
      </c>
      <c r="Z132" s="74">
        <f t="shared" ref="Z132:Z163" si="56">H132/$R$8</f>
        <v>-1.2418802086601663E-2</v>
      </c>
      <c r="AA132" s="74">
        <f t="shared" ref="AA132:AA163" si="57">I132/$R$8</f>
        <v>5.2772317913236397E-3</v>
      </c>
      <c r="AB132" s="73">
        <f t="shared" ref="AB132:AB163" si="58">J132/$R$8</f>
        <v>0.18458570592843451</v>
      </c>
      <c r="AC132" s="74">
        <f t="shared" ref="AC132:AC163" si="59">K132/$R$8</f>
        <v>8.4522751609788491E-2</v>
      </c>
      <c r="AD132" s="74">
        <f t="shared" ref="AD132:AD163" si="60">L132/$R$8</f>
        <v>8.846802386191345E-2</v>
      </c>
      <c r="AE132" s="75">
        <f t="shared" ref="AE132:AE195" si="61">M132/$R$8^2</f>
        <v>2.4521284809410297E-2</v>
      </c>
      <c r="AF132" s="76">
        <f t="shared" ref="AF132:AF163" si="62">N132/$R$11</f>
        <v>0.58107732623615405</v>
      </c>
      <c r="AG132" s="77">
        <f t="shared" ref="AG132:AG163" si="63">O132/$R$11</f>
        <v>0.82811826467777794</v>
      </c>
    </row>
    <row r="133" spans="1:33" x14ac:dyDescent="0.2">
      <c r="A133" s="2"/>
      <c r="B133" s="89">
        <v>190</v>
      </c>
      <c r="C133" s="90">
        <v>0</v>
      </c>
      <c r="D133" s="91">
        <v>30</v>
      </c>
      <c r="E133" s="92">
        <v>0.65300000000000002</v>
      </c>
      <c r="F133" s="93">
        <v>0.25931999999999999</v>
      </c>
      <c r="G133" s="93">
        <v>-0.21310000000000001</v>
      </c>
      <c r="H133" s="94">
        <v>8.6999999999999994E-3</v>
      </c>
      <c r="I133" s="94">
        <v>0.52898000000000001</v>
      </c>
      <c r="J133" s="93">
        <v>0.40397</v>
      </c>
      <c r="K133" s="94">
        <v>0.58560000000000001</v>
      </c>
      <c r="L133" s="94">
        <v>0.36410999999999999</v>
      </c>
      <c r="M133" s="95">
        <f t="shared" ref="M133:M191" si="64">(J133^2+K133^2+L133^2)/2</f>
        <v>0.31934760649999999</v>
      </c>
      <c r="N133" s="96">
        <v>99.96620272727273</v>
      </c>
      <c r="O133" s="97">
        <v>29.89246</v>
      </c>
      <c r="T133" s="68">
        <f t="shared" si="50"/>
        <v>0.95</v>
      </c>
      <c r="U133" s="69">
        <f t="shared" si="51"/>
        <v>0</v>
      </c>
      <c r="V133" s="70">
        <f t="shared" si="52"/>
        <v>0.15</v>
      </c>
      <c r="W133" s="71">
        <f t="shared" si="53"/>
        <v>0.13218382661044639</v>
      </c>
      <c r="X133" s="63">
        <f t="shared" si="54"/>
        <v>5.2492970775836069E-2</v>
      </c>
      <c r="Y133" s="73">
        <f t="shared" si="55"/>
        <v>-4.3136865927543837E-2</v>
      </c>
      <c r="Z133" s="74">
        <f t="shared" si="56"/>
        <v>1.7611015183933896E-3</v>
      </c>
      <c r="AA133" s="74">
        <f t="shared" si="57"/>
        <v>0.10707902082755578</v>
      </c>
      <c r="AB133" s="73">
        <f t="shared" si="58"/>
        <v>8.1773813837399734E-2</v>
      </c>
      <c r="AC133" s="74">
        <f t="shared" si="59"/>
        <v>0.11854035047944472</v>
      </c>
      <c r="AD133" s="74">
        <f t="shared" si="60"/>
        <v>7.3705134926691618E-2</v>
      </c>
      <c r="AE133" s="75">
        <f t="shared" si="61"/>
        <v>1.3085609117932558E-2</v>
      </c>
      <c r="AF133" s="76">
        <f t="shared" si="62"/>
        <v>5.4871337603441424</v>
      </c>
      <c r="AG133" s="77">
        <f t="shared" si="63"/>
        <v>1.6407938080155557</v>
      </c>
    </row>
    <row r="134" spans="1:33" x14ac:dyDescent="0.2">
      <c r="A134" s="2"/>
      <c r="B134" s="89">
        <v>210</v>
      </c>
      <c r="C134" s="90">
        <v>-180</v>
      </c>
      <c r="D134" s="91">
        <v>30</v>
      </c>
      <c r="E134" s="92">
        <v>1.87829</v>
      </c>
      <c r="F134" s="93">
        <v>0.81991999999999998</v>
      </c>
      <c r="G134" s="93">
        <v>1.7247699999999999</v>
      </c>
      <c r="H134" s="94">
        <v>-0.12157999999999999</v>
      </c>
      <c r="I134" s="94">
        <v>-7.1910000000000002E-2</v>
      </c>
      <c r="J134" s="93">
        <v>0.83940999999999999</v>
      </c>
      <c r="K134" s="94">
        <v>0.47687000000000002</v>
      </c>
      <c r="L134" s="94">
        <v>0.45380999999999999</v>
      </c>
      <c r="M134" s="95">
        <f t="shared" si="64"/>
        <v>0.56897883054999998</v>
      </c>
      <c r="N134" s="96">
        <v>25.431829230769228</v>
      </c>
      <c r="O134" s="97">
        <v>21.832850000000001</v>
      </c>
      <c r="T134" s="68">
        <f t="shared" si="50"/>
        <v>1.05</v>
      </c>
      <c r="U134" s="69">
        <f t="shared" si="51"/>
        <v>-0.9</v>
      </c>
      <c r="V134" s="70">
        <f t="shared" si="52"/>
        <v>0.15</v>
      </c>
      <c r="W134" s="71">
        <f t="shared" si="53"/>
        <v>0.38021372080265747</v>
      </c>
      <c r="X134" s="63">
        <f t="shared" si="54"/>
        <v>0.16597268470817333</v>
      </c>
      <c r="Y134" s="73">
        <f t="shared" si="55"/>
        <v>0.3491373638941801</v>
      </c>
      <c r="Z134" s="74">
        <f t="shared" si="56"/>
        <v>-2.4610887655892911E-2</v>
      </c>
      <c r="AA134" s="74">
        <f t="shared" si="57"/>
        <v>-1.4556414964099845E-2</v>
      </c>
      <c r="AB134" s="73">
        <f t="shared" si="58"/>
        <v>0.16991795696029829</v>
      </c>
      <c r="AC134" s="74">
        <f t="shared" si="59"/>
        <v>9.6530630008765037E-2</v>
      </c>
      <c r="AD134" s="74">
        <f t="shared" si="60"/>
        <v>9.1862698857713129E-2</v>
      </c>
      <c r="AE134" s="75">
        <f t="shared" si="61"/>
        <v>2.3314515034436881E-2</v>
      </c>
      <c r="AF134" s="76">
        <f t="shared" si="62"/>
        <v>1.3959502807181199</v>
      </c>
      <c r="AG134" s="77">
        <f t="shared" si="63"/>
        <v>1.1984027106277779</v>
      </c>
    </row>
    <row r="135" spans="1:33" x14ac:dyDescent="0.2">
      <c r="A135" s="2"/>
      <c r="B135" s="89">
        <v>210</v>
      </c>
      <c r="C135" s="90">
        <v>-120</v>
      </c>
      <c r="D135" s="91">
        <v>30</v>
      </c>
      <c r="E135" s="92">
        <v>0.80069000000000001</v>
      </c>
      <c r="F135" s="93">
        <v>0.34192</v>
      </c>
      <c r="G135" s="93">
        <v>-0.35453000000000001</v>
      </c>
      <c r="H135" s="94">
        <v>-4.1369999999999997E-2</v>
      </c>
      <c r="I135" s="94">
        <v>9.2340000000000005E-2</v>
      </c>
      <c r="J135" s="93">
        <v>0.53347999999999995</v>
      </c>
      <c r="K135" s="94">
        <v>0.62997999999999998</v>
      </c>
      <c r="L135" s="94">
        <v>0.44289000000000001</v>
      </c>
      <c r="M135" s="95">
        <f t="shared" si="64"/>
        <v>0.43881363145000002</v>
      </c>
      <c r="N135" s="96">
        <v>65.391696153846155</v>
      </c>
      <c r="O135" s="97">
        <v>33.681229999999999</v>
      </c>
      <c r="T135" s="68">
        <f t="shared" si="50"/>
        <v>1.05</v>
      </c>
      <c r="U135" s="69">
        <f t="shared" si="51"/>
        <v>-0.6</v>
      </c>
      <c r="V135" s="70">
        <f t="shared" si="52"/>
        <v>0.15</v>
      </c>
      <c r="W135" s="71">
        <f t="shared" si="53"/>
        <v>0.1620800430761383</v>
      </c>
      <c r="X135" s="63">
        <f t="shared" si="54"/>
        <v>6.9213313927479064E-2</v>
      </c>
      <c r="Y135" s="73">
        <f t="shared" si="55"/>
        <v>-7.176589900184005E-2</v>
      </c>
      <c r="Z135" s="74">
        <f t="shared" si="56"/>
        <v>-8.3743413581533945E-3</v>
      </c>
      <c r="AA135" s="74">
        <f t="shared" si="57"/>
        <v>1.8691967150396047E-2</v>
      </c>
      <c r="AB135" s="73">
        <f t="shared" si="58"/>
        <v>0.10798993540603512</v>
      </c>
      <c r="AC135" s="74">
        <f t="shared" si="59"/>
        <v>0.12752399247786983</v>
      </c>
      <c r="AD135" s="74">
        <f t="shared" si="60"/>
        <v>8.9652212813936594E-2</v>
      </c>
      <c r="AE135" s="75">
        <f t="shared" si="61"/>
        <v>1.7980857034465413E-2</v>
      </c>
      <c r="AF135" s="76">
        <f t="shared" si="62"/>
        <v>3.5893429361405991</v>
      </c>
      <c r="AG135" s="77">
        <f t="shared" si="63"/>
        <v>1.8487589723411115</v>
      </c>
    </row>
    <row r="136" spans="1:33" x14ac:dyDescent="0.2">
      <c r="A136" s="2"/>
      <c r="B136" s="89">
        <v>210</v>
      </c>
      <c r="C136" s="90">
        <v>-60</v>
      </c>
      <c r="D136" s="91">
        <v>30</v>
      </c>
      <c r="E136" s="92">
        <v>1.8594900000000001</v>
      </c>
      <c r="F136" s="93">
        <v>0.80793000000000004</v>
      </c>
      <c r="G136" s="93">
        <v>1.63452</v>
      </c>
      <c r="H136" s="94">
        <v>-5.561E-2</v>
      </c>
      <c r="I136" s="94">
        <v>7.2040000000000007E-2</v>
      </c>
      <c r="J136" s="93">
        <v>0.88610999999999995</v>
      </c>
      <c r="K136" s="94">
        <v>0.4748</v>
      </c>
      <c r="L136" s="94">
        <v>0.44855</v>
      </c>
      <c r="M136" s="95">
        <f t="shared" si="64"/>
        <v>0.60591153729999991</v>
      </c>
      <c r="N136" s="96">
        <v>120.14206363636364</v>
      </c>
      <c r="O136" s="97">
        <v>51.456719999999997</v>
      </c>
      <c r="T136" s="68">
        <f t="shared" si="50"/>
        <v>1.05</v>
      </c>
      <c r="U136" s="69">
        <f t="shared" si="51"/>
        <v>-0.3</v>
      </c>
      <c r="V136" s="70">
        <f t="shared" si="52"/>
        <v>0.15</v>
      </c>
      <c r="W136" s="71">
        <f t="shared" si="53"/>
        <v>0.37640812211923269</v>
      </c>
      <c r="X136" s="63">
        <f t="shared" si="54"/>
        <v>0.16354560342018062</v>
      </c>
      <c r="Y136" s="73">
        <f t="shared" si="55"/>
        <v>0.33086846595912223</v>
      </c>
      <c r="Z136" s="74">
        <f t="shared" si="56"/>
        <v>-1.1256879935385794E-2</v>
      </c>
      <c r="AA136" s="74">
        <f t="shared" si="57"/>
        <v>1.4582730274144806E-2</v>
      </c>
      <c r="AB136" s="73">
        <f t="shared" si="58"/>
        <v>0.17937122603029501</v>
      </c>
      <c r="AC136" s="74">
        <f t="shared" si="59"/>
        <v>9.6111609302664533E-2</v>
      </c>
      <c r="AD136" s="74">
        <f t="shared" si="60"/>
        <v>9.0797940928201717E-2</v>
      </c>
      <c r="AE136" s="75">
        <f t="shared" si="61"/>
        <v>2.4827872123580209E-2</v>
      </c>
      <c r="AF136" s="76">
        <f t="shared" si="62"/>
        <v>6.5945845238818199</v>
      </c>
      <c r="AG136" s="77">
        <f t="shared" si="63"/>
        <v>2.8244536433866672</v>
      </c>
    </row>
    <row r="137" spans="1:33" x14ac:dyDescent="0.2">
      <c r="A137" s="2"/>
      <c r="B137" s="89">
        <v>210</v>
      </c>
      <c r="C137" s="90">
        <v>0</v>
      </c>
      <c r="D137" s="91">
        <v>30</v>
      </c>
      <c r="E137" s="92">
        <v>0.82847999999999999</v>
      </c>
      <c r="F137" s="93">
        <v>0.36524000000000001</v>
      </c>
      <c r="G137" s="93">
        <v>-0.39085999999999999</v>
      </c>
      <c r="H137" s="94">
        <v>9.2499999999999995E-3</v>
      </c>
      <c r="I137" s="94">
        <v>0.16112000000000001</v>
      </c>
      <c r="J137" s="93">
        <v>0.56550999999999996</v>
      </c>
      <c r="K137" s="94">
        <v>0.65880000000000005</v>
      </c>
      <c r="L137" s="94">
        <v>0.44</v>
      </c>
      <c r="M137" s="95">
        <f t="shared" si="64"/>
        <v>0.47370950005000001</v>
      </c>
      <c r="N137" s="96">
        <v>95.853856363636368</v>
      </c>
      <c r="O137" s="97">
        <v>30.446359999999999</v>
      </c>
      <c r="T137" s="68">
        <f t="shared" si="50"/>
        <v>1.05</v>
      </c>
      <c r="U137" s="69">
        <f t="shared" si="51"/>
        <v>0</v>
      </c>
      <c r="V137" s="70">
        <f t="shared" si="52"/>
        <v>0.15</v>
      </c>
      <c r="W137" s="71">
        <f t="shared" si="53"/>
        <v>0.16770544666190293</v>
      </c>
      <c r="X137" s="63">
        <f t="shared" si="54"/>
        <v>7.3933875698620879E-2</v>
      </c>
      <c r="Y137" s="73">
        <f t="shared" si="55"/>
        <v>-7.9120016032096591E-2</v>
      </c>
      <c r="Z137" s="74">
        <f t="shared" si="56"/>
        <v>1.8724355224297533E-3</v>
      </c>
      <c r="AA137" s="74">
        <f t="shared" si="57"/>
        <v>3.2614790418798043E-2</v>
      </c>
      <c r="AB137" s="73">
        <f t="shared" si="58"/>
        <v>0.11447362295018916</v>
      </c>
      <c r="AC137" s="74">
        <f t="shared" si="59"/>
        <v>0.13335789428937531</v>
      </c>
      <c r="AD137" s="74">
        <f t="shared" si="60"/>
        <v>8.906720322909098E-2</v>
      </c>
      <c r="AE137" s="75">
        <f t="shared" si="61"/>
        <v>1.9410752505845237E-2</v>
      </c>
      <c r="AF137" s="76">
        <f t="shared" si="62"/>
        <v>5.2614075253715162</v>
      </c>
      <c r="AG137" s="77">
        <f t="shared" si="63"/>
        <v>1.6711973174711114</v>
      </c>
    </row>
    <row r="138" spans="1:33" x14ac:dyDescent="0.2">
      <c r="A138" s="2"/>
      <c r="B138" s="89">
        <v>210</v>
      </c>
      <c r="C138" s="90">
        <v>60</v>
      </c>
      <c r="D138" s="91">
        <v>30</v>
      </c>
      <c r="E138" s="92">
        <v>1.8783799999999999</v>
      </c>
      <c r="F138" s="93">
        <v>0.81710000000000005</v>
      </c>
      <c r="G138" s="93">
        <v>1.6629700000000001</v>
      </c>
      <c r="H138" s="94">
        <v>-4.6960000000000002E-2</v>
      </c>
      <c r="I138" s="94">
        <v>8.9580000000000007E-2</v>
      </c>
      <c r="J138" s="93">
        <v>0.89903999999999995</v>
      </c>
      <c r="K138" s="94">
        <v>0.49303999999999998</v>
      </c>
      <c r="L138" s="94">
        <v>0.44755</v>
      </c>
      <c r="M138" s="95">
        <f t="shared" si="64"/>
        <v>0.62583118284999995</v>
      </c>
      <c r="N138" s="96">
        <v>98.515903636363632</v>
      </c>
      <c r="O138" s="97">
        <v>46.568219999999997</v>
      </c>
      <c r="T138" s="68">
        <f t="shared" si="50"/>
        <v>1.05</v>
      </c>
      <c r="U138" s="69">
        <f t="shared" si="51"/>
        <v>0.3</v>
      </c>
      <c r="V138" s="70">
        <f t="shared" si="52"/>
        <v>0.15</v>
      </c>
      <c r="W138" s="71">
        <f t="shared" si="53"/>
        <v>0.38023193909422703</v>
      </c>
      <c r="X138" s="63">
        <f t="shared" si="54"/>
        <v>0.16540184490565962</v>
      </c>
      <c r="Y138" s="73">
        <f t="shared" si="55"/>
        <v>0.33662747034973051</v>
      </c>
      <c r="Z138" s="74">
        <f t="shared" si="56"/>
        <v>-9.5058996900866197E-3</v>
      </c>
      <c r="AA138" s="74">
        <f t="shared" si="57"/>
        <v>1.8133272875595387E-2</v>
      </c>
      <c r="AB138" s="73">
        <f t="shared" si="58"/>
        <v>0.18198858725245898</v>
      </c>
      <c r="AC138" s="74">
        <f t="shared" si="59"/>
        <v>9.9803849727434113E-2</v>
      </c>
      <c r="AD138" s="74">
        <f t="shared" si="60"/>
        <v>9.0595515466317417E-2</v>
      </c>
      <c r="AE138" s="75">
        <f t="shared" si="61"/>
        <v>2.5644100866584942E-2</v>
      </c>
      <c r="AF138" s="76">
        <f t="shared" si="62"/>
        <v>5.407527004388486</v>
      </c>
      <c r="AG138" s="77">
        <f t="shared" si="63"/>
        <v>2.5561244215533336</v>
      </c>
    </row>
    <row r="139" spans="1:33" x14ac:dyDescent="0.2">
      <c r="A139" s="2"/>
      <c r="B139" s="89">
        <v>210</v>
      </c>
      <c r="C139" s="90">
        <v>120</v>
      </c>
      <c r="D139" s="91">
        <v>30</v>
      </c>
      <c r="E139" s="92">
        <v>0.85924</v>
      </c>
      <c r="F139" s="93">
        <v>0.36984</v>
      </c>
      <c r="G139" s="93">
        <v>-0.40562999999999999</v>
      </c>
      <c r="H139" s="94">
        <v>-3.5799999999999998E-3</v>
      </c>
      <c r="I139" s="94">
        <v>6.4500000000000002E-2</v>
      </c>
      <c r="J139" s="93">
        <v>0.56818999999999997</v>
      </c>
      <c r="K139" s="94">
        <v>0.66551000000000005</v>
      </c>
      <c r="L139" s="94">
        <v>0.45859</v>
      </c>
      <c r="M139" s="95">
        <f t="shared" si="64"/>
        <v>0.48802411214999997</v>
      </c>
      <c r="N139" s="96">
        <v>50.511047692307692</v>
      </c>
      <c r="O139" s="97">
        <v>32.838679999999997</v>
      </c>
      <c r="T139" s="68">
        <f t="shared" si="50"/>
        <v>1.05</v>
      </c>
      <c r="U139" s="69">
        <f t="shared" si="51"/>
        <v>0.6</v>
      </c>
      <c r="V139" s="70">
        <f t="shared" si="52"/>
        <v>0.15</v>
      </c>
      <c r="W139" s="71">
        <f t="shared" si="53"/>
        <v>0.17393205386946392</v>
      </c>
      <c r="X139" s="63">
        <f t="shared" si="54"/>
        <v>7.4865032823288644E-2</v>
      </c>
      <c r="Y139" s="73">
        <f t="shared" si="55"/>
        <v>-8.2109840104127668E-2</v>
      </c>
      <c r="Z139" s="74">
        <f t="shared" si="56"/>
        <v>-7.2468315354578562E-4</v>
      </c>
      <c r="AA139" s="74">
        <f t="shared" si="57"/>
        <v>1.30564422915372E-2</v>
      </c>
      <c r="AB139" s="73">
        <f t="shared" si="58"/>
        <v>0.11501612318803908</v>
      </c>
      <c r="AC139" s="74">
        <f t="shared" si="59"/>
        <v>0.13471616913861895</v>
      </c>
      <c r="AD139" s="74">
        <f t="shared" si="60"/>
        <v>9.283029256552007E-2</v>
      </c>
      <c r="AE139" s="75">
        <f t="shared" si="61"/>
        <v>1.9997309019195608E-2</v>
      </c>
      <c r="AF139" s="76">
        <f t="shared" si="62"/>
        <v>2.7725457954921371</v>
      </c>
      <c r="AG139" s="77">
        <f t="shared" si="63"/>
        <v>1.802511496457778</v>
      </c>
    </row>
    <row r="140" spans="1:33" x14ac:dyDescent="0.2">
      <c r="A140" s="2"/>
      <c r="B140" s="89">
        <v>210</v>
      </c>
      <c r="C140" s="90">
        <v>180</v>
      </c>
      <c r="D140" s="91">
        <v>30</v>
      </c>
      <c r="E140" s="92">
        <v>1.87948</v>
      </c>
      <c r="F140" s="93">
        <v>0.80069999999999997</v>
      </c>
      <c r="G140" s="93">
        <v>1.67265</v>
      </c>
      <c r="H140" s="94">
        <v>-0.10065</v>
      </c>
      <c r="I140" s="94">
        <v>-8.9300000000000004E-3</v>
      </c>
      <c r="J140" s="93">
        <v>0.88527999999999996</v>
      </c>
      <c r="K140" s="94">
        <v>0.52197000000000005</v>
      </c>
      <c r="L140" s="94">
        <v>0.4748</v>
      </c>
      <c r="M140" s="95">
        <f t="shared" si="64"/>
        <v>0.64080419965000002</v>
      </c>
      <c r="N140" s="96">
        <v>14.532979230769232</v>
      </c>
      <c r="O140" s="97">
        <v>17.197970000000002</v>
      </c>
      <c r="T140" s="68">
        <f t="shared" si="50"/>
        <v>1.05</v>
      </c>
      <c r="U140" s="69">
        <f t="shared" si="51"/>
        <v>0.9</v>
      </c>
      <c r="V140" s="70">
        <f t="shared" si="52"/>
        <v>0.15</v>
      </c>
      <c r="W140" s="71">
        <f t="shared" si="53"/>
        <v>0.38045460710229978</v>
      </c>
      <c r="X140" s="63">
        <f t="shared" si="54"/>
        <v>0.16208206733075714</v>
      </c>
      <c r="Y140" s="73">
        <f t="shared" si="55"/>
        <v>0.33858694882077051</v>
      </c>
      <c r="Z140" s="74">
        <f t="shared" si="56"/>
        <v>-2.0374122738654563E-2</v>
      </c>
      <c r="AA140" s="74">
        <f t="shared" si="57"/>
        <v>-1.8076593746267783E-3</v>
      </c>
      <c r="AB140" s="73">
        <f t="shared" si="58"/>
        <v>0.17920321289693103</v>
      </c>
      <c r="AC140" s="74">
        <f t="shared" si="59"/>
        <v>0.10566001833974686</v>
      </c>
      <c r="AD140" s="74">
        <f t="shared" si="60"/>
        <v>9.6111609302664533E-2</v>
      </c>
      <c r="AE140" s="75">
        <f t="shared" si="61"/>
        <v>2.6257636215443234E-2</v>
      </c>
      <c r="AF140" s="76">
        <f t="shared" si="62"/>
        <v>0.79771361520145323</v>
      </c>
      <c r="AG140" s="77">
        <f t="shared" si="63"/>
        <v>0.94399466241444474</v>
      </c>
    </row>
    <row r="141" spans="1:33" x14ac:dyDescent="0.2">
      <c r="A141" s="2"/>
      <c r="B141" s="89">
        <v>230</v>
      </c>
      <c r="C141" s="90">
        <v>0</v>
      </c>
      <c r="D141" s="91">
        <v>30</v>
      </c>
      <c r="E141" s="92">
        <v>1.0051699999999999</v>
      </c>
      <c r="F141" s="93">
        <v>0.45263999999999999</v>
      </c>
      <c r="G141" s="93">
        <v>-0.37084</v>
      </c>
      <c r="H141" s="94">
        <v>6.3280000000000003E-2</v>
      </c>
      <c r="I141" s="94">
        <v>-0.27800999999999998</v>
      </c>
      <c r="J141" s="93">
        <v>0.58057000000000003</v>
      </c>
      <c r="K141" s="94">
        <v>1.0679399999999999</v>
      </c>
      <c r="L141" s="94">
        <v>0.48166999999999999</v>
      </c>
      <c r="M141" s="95">
        <f t="shared" si="64"/>
        <v>0.85478167869999977</v>
      </c>
      <c r="N141" s="96">
        <v>96.368176363636366</v>
      </c>
      <c r="O141" s="97">
        <v>32.71584</v>
      </c>
      <c r="T141" s="68">
        <f t="shared" si="50"/>
        <v>1.1499999999999999</v>
      </c>
      <c r="U141" s="69">
        <f t="shared" si="51"/>
        <v>0</v>
      </c>
      <c r="V141" s="70">
        <f t="shared" si="52"/>
        <v>0.15</v>
      </c>
      <c r="W141" s="71">
        <f t="shared" si="53"/>
        <v>0.20347200152223946</v>
      </c>
      <c r="X141" s="63">
        <f t="shared" si="54"/>
        <v>9.1625861067308495E-2</v>
      </c>
      <c r="Y141" s="73">
        <f t="shared" si="55"/>
        <v>-7.5067458285172944E-2</v>
      </c>
      <c r="Z141" s="74">
        <f t="shared" si="56"/>
        <v>1.2809483228038357E-2</v>
      </c>
      <c r="AA141" s="74">
        <f t="shared" si="57"/>
        <v>-5.6276302658453591E-2</v>
      </c>
      <c r="AB141" s="73">
        <f t="shared" si="58"/>
        <v>0.1175221504061667</v>
      </c>
      <c r="AC141" s="74">
        <f t="shared" si="59"/>
        <v>0.21617824776471684</v>
      </c>
      <c r="AD141" s="74">
        <f t="shared" si="60"/>
        <v>9.750227222580965E-2</v>
      </c>
      <c r="AE141" s="75">
        <f t="shared" si="61"/>
        <v>3.5025591865954428E-2</v>
      </c>
      <c r="AF141" s="76">
        <f t="shared" si="62"/>
        <v>5.2896384930248495</v>
      </c>
      <c r="AG141" s="77">
        <f t="shared" si="63"/>
        <v>1.795768822506667</v>
      </c>
    </row>
    <row r="142" spans="1:33" x14ac:dyDescent="0.2">
      <c r="A142" s="2"/>
      <c r="B142" s="68">
        <v>330</v>
      </c>
      <c r="C142" s="69">
        <v>-60</v>
      </c>
      <c r="D142" s="70">
        <v>30</v>
      </c>
      <c r="E142" s="98">
        <v>2.2450100000000002</v>
      </c>
      <c r="F142" s="109">
        <v>0.82862999999999998</v>
      </c>
      <c r="G142" s="75">
        <v>2.09382</v>
      </c>
      <c r="H142" s="74">
        <v>2.6099999999999999E-3</v>
      </c>
      <c r="I142" s="74">
        <v>8.4769999999999998E-2</v>
      </c>
      <c r="J142" s="75">
        <v>0.87163999999999997</v>
      </c>
      <c r="K142" s="74">
        <v>0.48975999999999997</v>
      </c>
      <c r="L142" s="74">
        <v>0.46783999999999998</v>
      </c>
      <c r="M142" s="75">
        <f t="shared" si="64"/>
        <v>0.60924770639999992</v>
      </c>
      <c r="N142" s="76">
        <v>93.095175000000012</v>
      </c>
      <c r="O142" s="77">
        <v>35.253100000000003</v>
      </c>
      <c r="T142" s="68">
        <f t="shared" si="50"/>
        <v>1.65</v>
      </c>
      <c r="U142" s="69">
        <f t="shared" si="51"/>
        <v>-0.3</v>
      </c>
      <c r="V142" s="70">
        <f t="shared" si="52"/>
        <v>0.15</v>
      </c>
      <c r="W142" s="98">
        <f t="shared" si="53"/>
        <v>0.45444718618486712</v>
      </c>
      <c r="X142" s="63">
        <f t="shared" si="54"/>
        <v>0.16773581048118558</v>
      </c>
      <c r="Y142" s="75">
        <f t="shared" si="55"/>
        <v>0.42384248060258017</v>
      </c>
      <c r="Z142" s="74">
        <f t="shared" si="56"/>
        <v>5.2833045551801689E-4</v>
      </c>
      <c r="AA142" s="74">
        <f t="shared" si="57"/>
        <v>1.7159606403931913E-2</v>
      </c>
      <c r="AB142" s="75">
        <f t="shared" si="58"/>
        <v>0.1764421295968292</v>
      </c>
      <c r="AC142" s="74">
        <f t="shared" si="59"/>
        <v>9.9139894212453616E-2</v>
      </c>
      <c r="AD142" s="74">
        <f t="shared" si="60"/>
        <v>9.4702728087949814E-2</v>
      </c>
      <c r="AE142" s="75">
        <f t="shared" si="61"/>
        <v>2.4964575214210465E-2</v>
      </c>
      <c r="AF142" s="76">
        <f t="shared" si="62"/>
        <v>5.1099838118416683</v>
      </c>
      <c r="AG142" s="77">
        <f t="shared" si="63"/>
        <v>1.9350387419888895</v>
      </c>
    </row>
    <row r="143" spans="1:33" x14ac:dyDescent="0.2">
      <c r="A143" s="2"/>
      <c r="B143" s="68">
        <v>330</v>
      </c>
      <c r="C143" s="69">
        <v>0</v>
      </c>
      <c r="D143" s="70">
        <v>30</v>
      </c>
      <c r="E143" s="71">
        <v>0.88224000000000002</v>
      </c>
      <c r="F143" s="72">
        <v>0.39340000000000003</v>
      </c>
      <c r="G143" s="73">
        <v>-0.45578000000000002</v>
      </c>
      <c r="H143" s="74">
        <v>0.12839</v>
      </c>
      <c r="I143" s="74">
        <v>0.11784</v>
      </c>
      <c r="J143" s="73">
        <v>0.57874000000000003</v>
      </c>
      <c r="K143" s="74">
        <v>0.68583000000000005</v>
      </c>
      <c r="L143" s="74">
        <v>0.45549000000000001</v>
      </c>
      <c r="M143" s="75">
        <f t="shared" si="64"/>
        <v>0.50638695830000002</v>
      </c>
      <c r="N143" s="76">
        <v>75.771222727272729</v>
      </c>
      <c r="O143" s="77">
        <v>23.511890000000001</v>
      </c>
      <c r="T143" s="68">
        <f t="shared" si="50"/>
        <v>1.65</v>
      </c>
      <c r="U143" s="69">
        <f t="shared" si="51"/>
        <v>0</v>
      </c>
      <c r="V143" s="70">
        <f t="shared" si="52"/>
        <v>0.15</v>
      </c>
      <c r="W143" s="71">
        <f t="shared" si="53"/>
        <v>0.17858783949280277</v>
      </c>
      <c r="X143" s="63">
        <f t="shared" si="54"/>
        <v>7.9634176705282708E-2</v>
      </c>
      <c r="Y143" s="73">
        <f t="shared" si="55"/>
        <v>-9.2261477017625201E-2</v>
      </c>
      <c r="Z143" s="74">
        <f t="shared" si="56"/>
        <v>2.5989405051324979E-2</v>
      </c>
      <c r="AA143" s="74">
        <f t="shared" si="57"/>
        <v>2.3853816428445637E-2</v>
      </c>
      <c r="AB143" s="73">
        <f t="shared" si="58"/>
        <v>0.11715171181091844</v>
      </c>
      <c r="AC143" s="74">
        <f t="shared" si="59"/>
        <v>0.13882945452410789</v>
      </c>
      <c r="AD143" s="74">
        <f t="shared" si="60"/>
        <v>9.220277363367875E-2</v>
      </c>
      <c r="AE143" s="75">
        <f t="shared" si="61"/>
        <v>2.0749746244716614E-2</v>
      </c>
      <c r="AF143" s="76">
        <f t="shared" si="62"/>
        <v>4.1590739964752537</v>
      </c>
      <c r="AG143" s="77">
        <f t="shared" si="63"/>
        <v>1.290565029667778</v>
      </c>
    </row>
    <row r="144" spans="1:33" x14ac:dyDescent="0.2">
      <c r="A144" s="2"/>
      <c r="B144" s="100">
        <v>330</v>
      </c>
      <c r="C144" s="101">
        <v>60</v>
      </c>
      <c r="D144" s="102">
        <v>30</v>
      </c>
      <c r="E144" s="103">
        <v>2.2618200000000002</v>
      </c>
      <c r="F144" s="104">
        <v>0.85651999999999995</v>
      </c>
      <c r="G144" s="105">
        <v>2.1141700000000001</v>
      </c>
      <c r="H144" s="106">
        <v>-3.569E-2</v>
      </c>
      <c r="I144" s="106">
        <v>8.6669999999999997E-2</v>
      </c>
      <c r="J144" s="105">
        <v>0.89585000000000004</v>
      </c>
      <c r="K144" s="106">
        <v>0.51026000000000005</v>
      </c>
      <c r="L144" s="106">
        <v>0.46351999999999999</v>
      </c>
      <c r="M144" s="105">
        <f t="shared" si="64"/>
        <v>0.63888164025000016</v>
      </c>
      <c r="N144" s="107">
        <v>75.494597272727276</v>
      </c>
      <c r="O144" s="108">
        <v>34.807650000000002</v>
      </c>
      <c r="T144" s="100">
        <f t="shared" si="50"/>
        <v>1.65</v>
      </c>
      <c r="U144" s="101">
        <f t="shared" si="51"/>
        <v>0.3</v>
      </c>
      <c r="V144" s="102">
        <f t="shared" si="52"/>
        <v>0.15</v>
      </c>
      <c r="W144" s="103">
        <f t="shared" si="53"/>
        <v>0.4578499581991422</v>
      </c>
      <c r="X144" s="63">
        <f t="shared" si="54"/>
        <v>0.17338145661313864</v>
      </c>
      <c r="Y144" s="105">
        <f t="shared" si="55"/>
        <v>0.42796183875192562</v>
      </c>
      <c r="Z144" s="106">
        <f t="shared" si="56"/>
        <v>-7.2245647346505836E-3</v>
      </c>
      <c r="AA144" s="106">
        <f t="shared" si="57"/>
        <v>1.754421478151208E-2</v>
      </c>
      <c r="AB144" s="105">
        <f t="shared" si="58"/>
        <v>0.18134285002904807</v>
      </c>
      <c r="AC144" s="106">
        <f t="shared" si="59"/>
        <v>0.10328961618108173</v>
      </c>
      <c r="AD144" s="106">
        <f t="shared" si="60"/>
        <v>9.3828250092609658E-2</v>
      </c>
      <c r="AE144" s="105">
        <f t="shared" si="61"/>
        <v>2.6178857291467159E-2</v>
      </c>
      <c r="AF144" s="107">
        <f t="shared" si="62"/>
        <v>4.1438900560114149</v>
      </c>
      <c r="AG144" s="108">
        <f t="shared" si="63"/>
        <v>1.9105880409833338</v>
      </c>
    </row>
    <row r="145" spans="1:33" x14ac:dyDescent="0.2">
      <c r="A145" s="2"/>
      <c r="B145" s="58">
        <v>-150</v>
      </c>
      <c r="C145" s="59">
        <v>-60</v>
      </c>
      <c r="D145" s="60">
        <v>50</v>
      </c>
      <c r="E145" s="61">
        <v>2.7024699999999999</v>
      </c>
      <c r="F145" s="62">
        <v>0.85389000000000004</v>
      </c>
      <c r="G145" s="63">
        <v>2.5668899999999999</v>
      </c>
      <c r="H145" s="64">
        <v>-9.7979999999999998E-2</v>
      </c>
      <c r="I145" s="64">
        <v>7.7729999999999994E-2</v>
      </c>
      <c r="J145" s="63">
        <v>0.87429999999999997</v>
      </c>
      <c r="K145" s="64">
        <v>0.50466</v>
      </c>
      <c r="L145" s="64">
        <v>0.44538</v>
      </c>
      <c r="M145" s="65">
        <f t="shared" si="64"/>
        <v>0.60872277499999994</v>
      </c>
      <c r="N145" s="66">
        <v>46.639204545454547</v>
      </c>
      <c r="O145" s="67">
        <v>112.33141999999999</v>
      </c>
      <c r="T145" s="58">
        <f t="shared" si="50"/>
        <v>-0.75</v>
      </c>
      <c r="U145" s="59">
        <f t="shared" si="51"/>
        <v>-0.3</v>
      </c>
      <c r="V145" s="60">
        <f t="shared" si="52"/>
        <v>0.25</v>
      </c>
      <c r="W145" s="61">
        <f t="shared" si="53"/>
        <v>0.54704873797845788</v>
      </c>
      <c r="X145" s="63">
        <f t="shared" si="54"/>
        <v>0.17284907764838295</v>
      </c>
      <c r="Y145" s="63">
        <f t="shared" si="55"/>
        <v>0.51960389385618477</v>
      </c>
      <c r="Z145" s="64">
        <f t="shared" si="56"/>
        <v>-1.9833646755423484E-2</v>
      </c>
      <c r="AA145" s="64">
        <f t="shared" si="57"/>
        <v>1.5734531152266456E-2</v>
      </c>
      <c r="AB145" s="63">
        <f t="shared" si="58"/>
        <v>0.17698058132544145</v>
      </c>
      <c r="AC145" s="64">
        <f t="shared" si="59"/>
        <v>0.10215603359452965</v>
      </c>
      <c r="AD145" s="64">
        <f t="shared" si="60"/>
        <v>9.0156252214028496E-2</v>
      </c>
      <c r="AE145" s="65">
        <f t="shared" si="61"/>
        <v>2.4943065589668693E-2</v>
      </c>
      <c r="AF145" s="66">
        <f t="shared" si="62"/>
        <v>2.5600207553661622</v>
      </c>
      <c r="AG145" s="67">
        <f t="shared" si="63"/>
        <v>6.1658591625311123</v>
      </c>
    </row>
    <row r="146" spans="1:33" x14ac:dyDescent="0.2">
      <c r="A146" s="2"/>
      <c r="B146" s="68">
        <v>-150</v>
      </c>
      <c r="C146" s="69">
        <v>0</v>
      </c>
      <c r="D146" s="70">
        <v>50</v>
      </c>
      <c r="E146" s="71">
        <v>0.78917000000000004</v>
      </c>
      <c r="F146" s="72">
        <v>0.32575999999999999</v>
      </c>
      <c r="G146" s="73">
        <v>0.20183000000000001</v>
      </c>
      <c r="H146" s="74">
        <v>3.0599999999999998E-3</v>
      </c>
      <c r="I146" s="74">
        <v>3.7859999999999998E-2</v>
      </c>
      <c r="J146" s="73">
        <v>0.50114999999999998</v>
      </c>
      <c r="K146" s="74">
        <v>0.59179999999999999</v>
      </c>
      <c r="L146" s="74">
        <v>0.46779999999999999</v>
      </c>
      <c r="M146" s="75">
        <f t="shared" si="64"/>
        <v>0.41010770125000001</v>
      </c>
      <c r="N146" s="76">
        <v>1226.3018836363635</v>
      </c>
      <c r="O146" s="77">
        <v>407.37189000000001</v>
      </c>
      <c r="T146" s="68">
        <f t="shared" si="50"/>
        <v>-0.75</v>
      </c>
      <c r="U146" s="69">
        <f t="shared" si="51"/>
        <v>0</v>
      </c>
      <c r="V146" s="70">
        <f t="shared" si="52"/>
        <v>0.25</v>
      </c>
      <c r="W146" s="71">
        <f t="shared" si="53"/>
        <v>0.15974810175523119</v>
      </c>
      <c r="X146" s="63">
        <f t="shared" si="54"/>
        <v>6.5942118463428803E-2</v>
      </c>
      <c r="Y146" s="73">
        <f t="shared" si="55"/>
        <v>4.0855530972107798E-2</v>
      </c>
      <c r="Z146" s="74">
        <f t="shared" si="56"/>
        <v>6.1942191336595079E-4</v>
      </c>
      <c r="AA146" s="74">
        <f t="shared" si="57"/>
        <v>7.6638279869395091E-3</v>
      </c>
      <c r="AB146" s="73">
        <f t="shared" si="58"/>
        <v>0.10144552022331578</v>
      </c>
      <c r="AC146" s="74">
        <f t="shared" si="59"/>
        <v>0.11979538834312736</v>
      </c>
      <c r="AD146" s="74">
        <f t="shared" si="60"/>
        <v>9.4694631069474441E-2</v>
      </c>
      <c r="AE146" s="75">
        <f t="shared" si="61"/>
        <v>1.6804600897521872E-2</v>
      </c>
      <c r="AF146" s="76">
        <f t="shared" si="62"/>
        <v>67.311574137035151</v>
      </c>
      <c r="AG146" s="77">
        <f t="shared" si="63"/>
        <v>22.36059777855667</v>
      </c>
    </row>
    <row r="147" spans="1:33" x14ac:dyDescent="0.2">
      <c r="A147" s="2"/>
      <c r="B147" s="68">
        <v>-150</v>
      </c>
      <c r="C147" s="69">
        <v>60</v>
      </c>
      <c r="D147" s="70">
        <v>50</v>
      </c>
      <c r="E147" s="71">
        <v>2.7084000000000001</v>
      </c>
      <c r="F147" s="72">
        <v>0.81620999999999999</v>
      </c>
      <c r="G147" s="73">
        <v>2.5764100000000001</v>
      </c>
      <c r="H147" s="74">
        <v>-0.1143</v>
      </c>
      <c r="I147" s="74">
        <v>8.1970000000000001E-2</v>
      </c>
      <c r="J147" s="73">
        <v>0.83853999999999995</v>
      </c>
      <c r="K147" s="74">
        <v>0.49785000000000001</v>
      </c>
      <c r="L147" s="74">
        <v>0.44251000000000001</v>
      </c>
      <c r="M147" s="75">
        <f t="shared" si="64"/>
        <v>0.57340952709999993</v>
      </c>
      <c r="N147" s="76">
        <v>30.401042727272724</v>
      </c>
      <c r="O147" s="77">
        <v>85.273330000000001</v>
      </c>
      <c r="T147" s="68">
        <f t="shared" si="50"/>
        <v>-0.75</v>
      </c>
      <c r="U147" s="69">
        <f t="shared" si="51"/>
        <v>0.3</v>
      </c>
      <c r="V147" s="70">
        <f t="shared" si="52"/>
        <v>0.25</v>
      </c>
      <c r="W147" s="71">
        <f t="shared" si="53"/>
        <v>0.54824912096743184</v>
      </c>
      <c r="X147" s="63">
        <f t="shared" si="54"/>
        <v>0.16522168624458261</v>
      </c>
      <c r="Y147" s="73">
        <f t="shared" si="55"/>
        <v>0.52153098425332334</v>
      </c>
      <c r="Z147" s="74">
        <f t="shared" si="56"/>
        <v>-2.3137230293375222E-2</v>
      </c>
      <c r="AA147" s="74">
        <f t="shared" si="57"/>
        <v>1.6592815110655881E-2</v>
      </c>
      <c r="AB147" s="73">
        <f t="shared" si="58"/>
        <v>0.16974184680845897</v>
      </c>
      <c r="AC147" s="74">
        <f t="shared" si="59"/>
        <v>0.1007775161990976</v>
      </c>
      <c r="AD147" s="74">
        <f t="shared" si="60"/>
        <v>8.9575291138420568E-2</v>
      </c>
      <c r="AE147" s="75">
        <f t="shared" si="61"/>
        <v>2.3496067555869266E-2</v>
      </c>
      <c r="AF147" s="76">
        <f t="shared" si="62"/>
        <v>1.6687098574063637</v>
      </c>
      <c r="AG147" s="77">
        <f t="shared" si="63"/>
        <v>4.6806436088855561</v>
      </c>
    </row>
    <row r="148" spans="1:33" x14ac:dyDescent="0.2">
      <c r="A148" s="2"/>
      <c r="B148" s="68">
        <v>-120</v>
      </c>
      <c r="C148" s="69">
        <v>-60</v>
      </c>
      <c r="D148" s="70">
        <v>50</v>
      </c>
      <c r="E148" s="71">
        <v>2.68988</v>
      </c>
      <c r="F148" s="72">
        <v>0.82638999999999996</v>
      </c>
      <c r="G148" s="73">
        <v>2.55823</v>
      </c>
      <c r="H148" s="74">
        <v>-0.1056</v>
      </c>
      <c r="I148" s="74">
        <v>8.8900000000000007E-2</v>
      </c>
      <c r="J148" s="73">
        <v>0.84677000000000002</v>
      </c>
      <c r="K148" s="74">
        <v>0.50380999999999998</v>
      </c>
      <c r="L148" s="74">
        <v>0.44385999999999998</v>
      </c>
      <c r="M148" s="75">
        <f t="shared" si="64"/>
        <v>0.58392782430000001</v>
      </c>
      <c r="N148" s="76">
        <v>97.939112727272729</v>
      </c>
      <c r="O148" s="77">
        <v>145.25077999999999</v>
      </c>
      <c r="T148" s="68">
        <f t="shared" si="50"/>
        <v>-0.6</v>
      </c>
      <c r="U148" s="69">
        <f t="shared" si="51"/>
        <v>-0.3</v>
      </c>
      <c r="V148" s="70">
        <f t="shared" si="52"/>
        <v>0.25</v>
      </c>
      <c r="W148" s="71">
        <f t="shared" si="53"/>
        <v>0.54450020141333466</v>
      </c>
      <c r="X148" s="63">
        <f t="shared" si="54"/>
        <v>0.16728237744656474</v>
      </c>
      <c r="Y148" s="73">
        <f t="shared" si="55"/>
        <v>0.51785088935626677</v>
      </c>
      <c r="Z148" s="74">
        <f t="shared" si="56"/>
        <v>-2.1376128774981833E-2</v>
      </c>
      <c r="AA148" s="74">
        <f t="shared" si="57"/>
        <v>1.7995623561514063E-2</v>
      </c>
      <c r="AB148" s="73">
        <f t="shared" si="58"/>
        <v>0.17140780835976674</v>
      </c>
      <c r="AC148" s="74">
        <f t="shared" si="59"/>
        <v>0.101983971951928</v>
      </c>
      <c r="AD148" s="74">
        <f t="shared" si="60"/>
        <v>8.9848565511964365E-2</v>
      </c>
      <c r="AE148" s="75">
        <f t="shared" si="61"/>
        <v>2.3927066013173955E-2</v>
      </c>
      <c r="AF148" s="76">
        <f t="shared" si="62"/>
        <v>5.3758670154763646</v>
      </c>
      <c r="AG148" s="77">
        <f t="shared" si="63"/>
        <v>7.9727991752244458</v>
      </c>
    </row>
    <row r="149" spans="1:33" x14ac:dyDescent="0.2">
      <c r="A149" s="2"/>
      <c r="B149" s="68">
        <v>-120</v>
      </c>
      <c r="C149" s="69">
        <v>60</v>
      </c>
      <c r="D149" s="70">
        <v>50</v>
      </c>
      <c r="E149" s="71">
        <v>2.7368800000000002</v>
      </c>
      <c r="F149" s="72">
        <v>0.81435000000000002</v>
      </c>
      <c r="G149" s="73">
        <v>2.60507</v>
      </c>
      <c r="H149" s="74">
        <v>-0.1041</v>
      </c>
      <c r="I149" s="74">
        <v>0.10772</v>
      </c>
      <c r="J149" s="73">
        <v>0.83592</v>
      </c>
      <c r="K149" s="74">
        <v>0.49656</v>
      </c>
      <c r="L149" s="74">
        <v>0.43963000000000002</v>
      </c>
      <c r="M149" s="75">
        <f t="shared" si="64"/>
        <v>0.56930430845000002</v>
      </c>
      <c r="N149" s="76">
        <v>67.966831818181817</v>
      </c>
      <c r="O149" s="77">
        <v>117.82804</v>
      </c>
      <c r="T149" s="68">
        <f t="shared" si="50"/>
        <v>-0.6</v>
      </c>
      <c r="U149" s="69">
        <f t="shared" si="51"/>
        <v>0.3</v>
      </c>
      <c r="V149" s="70">
        <f t="shared" si="52"/>
        <v>0.25</v>
      </c>
      <c r="W149" s="71">
        <f t="shared" si="53"/>
        <v>0.55401419812189667</v>
      </c>
      <c r="X149" s="63">
        <f t="shared" si="54"/>
        <v>0.16484517488547781</v>
      </c>
      <c r="Y149" s="73">
        <f t="shared" si="55"/>
        <v>0.5273324979909273</v>
      </c>
      <c r="Z149" s="74">
        <f t="shared" si="56"/>
        <v>-2.1072490582155386E-2</v>
      </c>
      <c r="AA149" s="74">
        <f t="shared" si="57"/>
        <v>2.1805270754176546E-2</v>
      </c>
      <c r="AB149" s="73">
        <f t="shared" si="58"/>
        <v>0.16921149209832212</v>
      </c>
      <c r="AC149" s="74">
        <f t="shared" si="59"/>
        <v>0.10051638735326685</v>
      </c>
      <c r="AD149" s="74">
        <f t="shared" si="60"/>
        <v>8.8992305808193783E-2</v>
      </c>
      <c r="AE149" s="75">
        <f t="shared" si="61"/>
        <v>2.3327851838875795E-2</v>
      </c>
      <c r="AF149" s="76">
        <f t="shared" si="62"/>
        <v>3.7306918466297985</v>
      </c>
      <c r="AG149" s="77">
        <f t="shared" si="63"/>
        <v>6.4675680235955566</v>
      </c>
    </row>
    <row r="150" spans="1:33" x14ac:dyDescent="0.2">
      <c r="A150" s="2"/>
      <c r="B150" s="68">
        <v>-90</v>
      </c>
      <c r="C150" s="69">
        <v>-60</v>
      </c>
      <c r="D150" s="70">
        <v>50</v>
      </c>
      <c r="E150" s="71">
        <v>2.6882999999999999</v>
      </c>
      <c r="F150" s="72">
        <v>0.85150999999999999</v>
      </c>
      <c r="G150" s="73">
        <v>2.5607600000000001</v>
      </c>
      <c r="H150" s="74">
        <v>-9.887E-2</v>
      </c>
      <c r="I150" s="74">
        <v>6.8040000000000003E-2</v>
      </c>
      <c r="J150" s="73">
        <v>0.87746000000000002</v>
      </c>
      <c r="K150" s="74">
        <v>0.45478000000000002</v>
      </c>
      <c r="L150" s="74">
        <v>0.42116999999999999</v>
      </c>
      <c r="M150" s="75">
        <f t="shared" si="64"/>
        <v>0.57707253445000006</v>
      </c>
      <c r="N150" s="76">
        <v>131.56056181818184</v>
      </c>
      <c r="O150" s="77">
        <v>135.53118000000001</v>
      </c>
      <c r="T150" s="68">
        <f t="shared" si="50"/>
        <v>-0.45</v>
      </c>
      <c r="U150" s="69">
        <f t="shared" si="51"/>
        <v>-0.3</v>
      </c>
      <c r="V150" s="70">
        <f t="shared" si="52"/>
        <v>0.25</v>
      </c>
      <c r="W150" s="71">
        <f t="shared" si="53"/>
        <v>0.54418036918355739</v>
      </c>
      <c r="X150" s="63">
        <f t="shared" si="54"/>
        <v>0.17236730504909831</v>
      </c>
      <c r="Y150" s="73">
        <f t="shared" si="55"/>
        <v>0.51836302577483417</v>
      </c>
      <c r="Z150" s="74">
        <f t="shared" si="56"/>
        <v>-2.001380541650051E-2</v>
      </c>
      <c r="AA150" s="74">
        <f t="shared" si="57"/>
        <v>1.3773028426607613E-2</v>
      </c>
      <c r="AB150" s="73">
        <f t="shared" si="58"/>
        <v>0.17762024578499583</v>
      </c>
      <c r="AC150" s="74">
        <f t="shared" si="59"/>
        <v>9.2059051555740901E-2</v>
      </c>
      <c r="AD150" s="74">
        <f t="shared" si="60"/>
        <v>8.525553178180964E-2</v>
      </c>
      <c r="AE150" s="75">
        <f t="shared" si="61"/>
        <v>2.3646163192732026E-2</v>
      </c>
      <c r="AF150" s="76">
        <f t="shared" si="62"/>
        <v>7.2213446203598002</v>
      </c>
      <c r="AG150" s="77">
        <f t="shared" si="63"/>
        <v>7.4392914111800019</v>
      </c>
    </row>
    <row r="151" spans="1:33" x14ac:dyDescent="0.2">
      <c r="A151" s="2"/>
      <c r="B151" s="68">
        <v>-90</v>
      </c>
      <c r="C151" s="69">
        <v>60</v>
      </c>
      <c r="D151" s="70">
        <v>50</v>
      </c>
      <c r="E151" s="71">
        <v>2.6383299999999998</v>
      </c>
      <c r="F151" s="72">
        <v>0.86211000000000004</v>
      </c>
      <c r="G151" s="73">
        <v>2.5071500000000002</v>
      </c>
      <c r="H151" s="74">
        <v>-0.12060999999999999</v>
      </c>
      <c r="I151" s="74">
        <v>5.8860000000000003E-2</v>
      </c>
      <c r="J151" s="73">
        <v>0.88641999999999999</v>
      </c>
      <c r="K151" s="74">
        <v>0.45926</v>
      </c>
      <c r="L151" s="74">
        <v>0.41165000000000002</v>
      </c>
      <c r="M151" s="75">
        <f t="shared" si="64"/>
        <v>0.58305794324999993</v>
      </c>
      <c r="N151" s="76">
        <v>100.87442909090909</v>
      </c>
      <c r="O151" s="77">
        <v>124.8918</v>
      </c>
      <c r="T151" s="68">
        <f t="shared" si="50"/>
        <v>-0.45</v>
      </c>
      <c r="U151" s="69">
        <f t="shared" si="51"/>
        <v>0.3</v>
      </c>
      <c r="V151" s="70">
        <f t="shared" si="52"/>
        <v>0.25</v>
      </c>
      <c r="W151" s="71">
        <f t="shared" si="53"/>
        <v>0.53406516885319899</v>
      </c>
      <c r="X151" s="63">
        <f t="shared" si="54"/>
        <v>0.17451301494507188</v>
      </c>
      <c r="Y151" s="73">
        <f t="shared" si="55"/>
        <v>0.50751099676321698</v>
      </c>
      <c r="Z151" s="74">
        <f t="shared" si="56"/>
        <v>-2.441453495786514E-2</v>
      </c>
      <c r="AA151" s="74">
        <f t="shared" si="57"/>
        <v>1.1914762686509761E-2</v>
      </c>
      <c r="AB151" s="73">
        <f t="shared" si="58"/>
        <v>0.17943397792347915</v>
      </c>
      <c r="AC151" s="74">
        <f t="shared" si="59"/>
        <v>9.2965917624982547E-2</v>
      </c>
      <c r="AD151" s="74">
        <f t="shared" si="60"/>
        <v>8.3328441384671145E-2</v>
      </c>
      <c r="AE151" s="75">
        <f t="shared" si="61"/>
        <v>2.3891421708448605E-2</v>
      </c>
      <c r="AF151" s="76">
        <f t="shared" si="62"/>
        <v>5.5369862045301019</v>
      </c>
      <c r="AG151" s="77">
        <f t="shared" si="63"/>
        <v>6.8552970251333347</v>
      </c>
    </row>
    <row r="152" spans="1:33" x14ac:dyDescent="0.2">
      <c r="A152" s="2"/>
      <c r="B152" s="68">
        <v>-50</v>
      </c>
      <c r="C152" s="69">
        <v>-60</v>
      </c>
      <c r="D152" s="70">
        <v>50</v>
      </c>
      <c r="E152" s="71">
        <v>2.5793400000000002</v>
      </c>
      <c r="F152" s="72">
        <v>0.86214999999999997</v>
      </c>
      <c r="G152" s="73">
        <v>2.43675</v>
      </c>
      <c r="H152" s="74">
        <v>-8.5559999999999997E-2</v>
      </c>
      <c r="I152" s="74">
        <v>2.7969999999999998E-2</v>
      </c>
      <c r="J152" s="73">
        <v>0.88436000000000003</v>
      </c>
      <c r="K152" s="74">
        <v>0.47414000000000001</v>
      </c>
      <c r="L152" s="74">
        <v>0.40778999999999999</v>
      </c>
      <c r="M152" s="75">
        <f t="shared" si="64"/>
        <v>0.58659701665000008</v>
      </c>
      <c r="N152" s="76">
        <v>146.99542909090908</v>
      </c>
      <c r="O152" s="77">
        <v>121.91087</v>
      </c>
      <c r="T152" s="68">
        <f t="shared" si="50"/>
        <v>-0.25</v>
      </c>
      <c r="U152" s="69">
        <f t="shared" si="51"/>
        <v>-0.3</v>
      </c>
      <c r="V152" s="70">
        <f t="shared" si="52"/>
        <v>0.25</v>
      </c>
      <c r="W152" s="71">
        <f t="shared" si="53"/>
        <v>0.52212409085664435</v>
      </c>
      <c r="X152" s="63">
        <f t="shared" si="54"/>
        <v>0.17452111196354722</v>
      </c>
      <c r="Y152" s="73">
        <f t="shared" si="55"/>
        <v>0.49326024424656234</v>
      </c>
      <c r="Z152" s="74">
        <f t="shared" si="56"/>
        <v>-1.7319522518820508E-2</v>
      </c>
      <c r="AA152" s="74">
        <f t="shared" si="57"/>
        <v>5.6618401689038055E-3</v>
      </c>
      <c r="AB152" s="73">
        <f t="shared" si="58"/>
        <v>0.17901698147199749</v>
      </c>
      <c r="AC152" s="74">
        <f t="shared" si="59"/>
        <v>9.5978008497820899E-2</v>
      </c>
      <c r="AD152" s="74">
        <f t="shared" si="60"/>
        <v>8.2547079101797746E-2</v>
      </c>
      <c r="AE152" s="75">
        <f t="shared" si="61"/>
        <v>2.4036439019395867E-2</v>
      </c>
      <c r="AF152" s="76">
        <f t="shared" si="62"/>
        <v>8.0685627699745464</v>
      </c>
      <c r="AG152" s="77">
        <f t="shared" si="63"/>
        <v>6.6916741086477796</v>
      </c>
    </row>
    <row r="153" spans="1:33" x14ac:dyDescent="0.2">
      <c r="A153" s="2"/>
      <c r="B153" s="68">
        <v>-50</v>
      </c>
      <c r="C153" s="69">
        <v>0</v>
      </c>
      <c r="D153" s="70">
        <v>50</v>
      </c>
      <c r="E153" s="71">
        <v>0.55744000000000005</v>
      </c>
      <c r="F153" s="72">
        <v>0.21340999999999999</v>
      </c>
      <c r="G153" s="73">
        <v>9.0209999999999999E-2</v>
      </c>
      <c r="H153" s="74">
        <v>-8.0180000000000001E-2</v>
      </c>
      <c r="I153" s="74">
        <v>0.43464999999999998</v>
      </c>
      <c r="J153" s="73">
        <v>0.37113000000000002</v>
      </c>
      <c r="K153" s="74">
        <v>0.43686999999999998</v>
      </c>
      <c r="L153" s="74">
        <v>0.27845999999999999</v>
      </c>
      <c r="M153" s="75">
        <f t="shared" si="64"/>
        <v>0.2030664227</v>
      </c>
      <c r="N153" s="76">
        <v>262.17730363636366</v>
      </c>
      <c r="O153" s="77">
        <v>80.059089999999998</v>
      </c>
      <c r="T153" s="68">
        <f t="shared" si="50"/>
        <v>-0.25</v>
      </c>
      <c r="U153" s="69">
        <f t="shared" si="51"/>
        <v>0</v>
      </c>
      <c r="V153" s="70">
        <f t="shared" si="52"/>
        <v>0.25</v>
      </c>
      <c r="W153" s="71">
        <f t="shared" si="53"/>
        <v>0.11284004947278291</v>
      </c>
      <c r="X153" s="63">
        <f t="shared" si="54"/>
        <v>4.319961782072796E-2</v>
      </c>
      <c r="Y153" s="73">
        <f t="shared" si="55"/>
        <v>1.8260800916582491E-2</v>
      </c>
      <c r="Z153" s="74">
        <f t="shared" si="56"/>
        <v>-1.6230473533882989E-2</v>
      </c>
      <c r="AA153" s="74">
        <f t="shared" si="57"/>
        <v>8.798422700800998E-2</v>
      </c>
      <c r="AB153" s="73">
        <f t="shared" si="58"/>
        <v>7.5126161669119396E-2</v>
      </c>
      <c r="AC153" s="74">
        <f t="shared" si="59"/>
        <v>8.8433611533393117E-2</v>
      </c>
      <c r="AD153" s="74">
        <f t="shared" si="60"/>
        <v>5.6367394116301525E-2</v>
      </c>
      <c r="AE153" s="75">
        <f t="shared" si="61"/>
        <v>8.3208634677181051E-3</v>
      </c>
      <c r="AF153" s="76">
        <f t="shared" si="62"/>
        <v>14.390883065788488</v>
      </c>
      <c r="AG153" s="77">
        <f t="shared" si="63"/>
        <v>4.3944345546455565</v>
      </c>
    </row>
    <row r="154" spans="1:33" x14ac:dyDescent="0.2">
      <c r="A154" s="2"/>
      <c r="B154" s="68">
        <v>-50</v>
      </c>
      <c r="C154" s="69">
        <v>60</v>
      </c>
      <c r="D154" s="70">
        <v>50</v>
      </c>
      <c r="E154" s="71">
        <v>2.5895800000000002</v>
      </c>
      <c r="F154" s="72">
        <v>0.89588999999999996</v>
      </c>
      <c r="G154" s="73">
        <v>2.44103</v>
      </c>
      <c r="H154" s="74">
        <v>-9.6949999999999995E-2</v>
      </c>
      <c r="I154" s="74">
        <v>3.4110000000000001E-2</v>
      </c>
      <c r="J154" s="73">
        <v>0.92320000000000002</v>
      </c>
      <c r="K154" s="74">
        <v>0.48359000000000002</v>
      </c>
      <c r="L154" s="74">
        <v>0.42636000000000002</v>
      </c>
      <c r="M154" s="75">
        <f t="shared" si="64"/>
        <v>0.63397018885</v>
      </c>
      <c r="N154" s="76">
        <v>123.54050818181817</v>
      </c>
      <c r="O154" s="77">
        <v>112.50329000000001</v>
      </c>
      <c r="T154" s="68">
        <f t="shared" si="50"/>
        <v>-0.25</v>
      </c>
      <c r="U154" s="69">
        <f t="shared" si="51"/>
        <v>0.3</v>
      </c>
      <c r="V154" s="70">
        <f t="shared" si="52"/>
        <v>0.25</v>
      </c>
      <c r="W154" s="71">
        <f t="shared" si="53"/>
        <v>0.52419692758633962</v>
      </c>
      <c r="X154" s="63">
        <f t="shared" si="54"/>
        <v>0.18135094704752344</v>
      </c>
      <c r="Y154" s="73">
        <f t="shared" si="55"/>
        <v>0.49412662522342715</v>
      </c>
      <c r="Z154" s="74">
        <f t="shared" si="56"/>
        <v>-1.9625148529682657E-2</v>
      </c>
      <c r="AA154" s="74">
        <f t="shared" si="57"/>
        <v>6.9047325048733942E-3</v>
      </c>
      <c r="AB154" s="73">
        <f t="shared" si="58"/>
        <v>0.1868791864115836</v>
      </c>
      <c r="AC154" s="74">
        <f t="shared" si="59"/>
        <v>9.789092911262752E-2</v>
      </c>
      <c r="AD154" s="74">
        <f t="shared" si="60"/>
        <v>8.6306119928989164E-2</v>
      </c>
      <c r="AE154" s="75">
        <f t="shared" si="61"/>
        <v>2.5977605326792969E-2</v>
      </c>
      <c r="AF154" s="76">
        <f t="shared" si="62"/>
        <v>6.7811247673768689</v>
      </c>
      <c r="AG154" s="77">
        <f t="shared" si="63"/>
        <v>6.1752930877344463</v>
      </c>
    </row>
    <row r="155" spans="1:33" x14ac:dyDescent="0.2">
      <c r="A155" s="2"/>
      <c r="B155" s="68">
        <v>-30</v>
      </c>
      <c r="C155" s="69">
        <v>-60</v>
      </c>
      <c r="D155" s="70">
        <v>50</v>
      </c>
      <c r="E155" s="71">
        <v>2.5720900000000002</v>
      </c>
      <c r="F155" s="72">
        <v>0.86978999999999995</v>
      </c>
      <c r="G155" s="73">
        <v>2.4155199999999999</v>
      </c>
      <c r="H155" s="74">
        <v>-7.3219999999999993E-2</v>
      </c>
      <c r="I155" s="74">
        <v>4.138E-2</v>
      </c>
      <c r="J155" s="73">
        <v>0.89805999999999997</v>
      </c>
      <c r="K155" s="74">
        <v>0.49481000000000003</v>
      </c>
      <c r="L155" s="74">
        <v>0.41768</v>
      </c>
      <c r="M155" s="75">
        <f t="shared" si="64"/>
        <v>0.61290264105000003</v>
      </c>
      <c r="N155" s="76">
        <v>160.38855545454547</v>
      </c>
      <c r="O155" s="77">
        <v>117.21886000000001</v>
      </c>
      <c r="T155" s="68">
        <f t="shared" si="50"/>
        <v>-0.15</v>
      </c>
      <c r="U155" s="69">
        <f t="shared" si="51"/>
        <v>-0.3</v>
      </c>
      <c r="V155" s="70">
        <f t="shared" si="52"/>
        <v>0.25</v>
      </c>
      <c r="W155" s="71">
        <f t="shared" si="53"/>
        <v>0.52065650625798321</v>
      </c>
      <c r="X155" s="63">
        <f t="shared" si="54"/>
        <v>0.17606764249234325</v>
      </c>
      <c r="Y155" s="73">
        <f t="shared" si="55"/>
        <v>0.4889627516907587</v>
      </c>
      <c r="Z155" s="74">
        <f t="shared" si="56"/>
        <v>-1.4821592319168273E-2</v>
      </c>
      <c r="AA155" s="74">
        <f t="shared" si="57"/>
        <v>8.3763656127722377E-3</v>
      </c>
      <c r="AB155" s="73">
        <f t="shared" si="58"/>
        <v>0.18179021029981235</v>
      </c>
      <c r="AC155" s="74">
        <f t="shared" si="59"/>
        <v>0.10016214279496934</v>
      </c>
      <c r="AD155" s="74">
        <f t="shared" si="60"/>
        <v>8.4549066919833452E-2</v>
      </c>
      <c r="AE155" s="75">
        <f t="shared" si="61"/>
        <v>2.5114340063572157E-2</v>
      </c>
      <c r="AF155" s="76">
        <f t="shared" si="62"/>
        <v>8.8037099879493965</v>
      </c>
      <c r="AG155" s="77">
        <f t="shared" si="63"/>
        <v>6.4341302010822234</v>
      </c>
    </row>
    <row r="156" spans="1:33" x14ac:dyDescent="0.2">
      <c r="A156" s="2"/>
      <c r="B156" s="68">
        <v>-30</v>
      </c>
      <c r="C156" s="69">
        <v>0</v>
      </c>
      <c r="D156" s="70">
        <v>50</v>
      </c>
      <c r="E156" s="71">
        <v>0.75682000000000005</v>
      </c>
      <c r="F156" s="72">
        <v>0.31548999999999999</v>
      </c>
      <c r="G156" s="73">
        <v>0.19373000000000001</v>
      </c>
      <c r="H156" s="74">
        <v>1.141E-2</v>
      </c>
      <c r="I156" s="74">
        <v>8.863E-2</v>
      </c>
      <c r="J156" s="73">
        <v>0.48277999999999999</v>
      </c>
      <c r="K156" s="74">
        <v>0.58696999999999999</v>
      </c>
      <c r="L156" s="74">
        <v>0.46073999999999998</v>
      </c>
      <c r="M156" s="75">
        <f t="shared" si="64"/>
        <v>0.39494582844999998</v>
      </c>
      <c r="N156" s="76">
        <v>245.23889363636366</v>
      </c>
      <c r="O156" s="77">
        <v>71.600570000000005</v>
      </c>
      <c r="T156" s="68">
        <f t="shared" si="50"/>
        <v>-0.15</v>
      </c>
      <c r="U156" s="69">
        <f t="shared" si="51"/>
        <v>0</v>
      </c>
      <c r="V156" s="70">
        <f t="shared" si="52"/>
        <v>0.25</v>
      </c>
      <c r="W156" s="71">
        <f t="shared" si="53"/>
        <v>0.15319963806327416</v>
      </c>
      <c r="X156" s="63">
        <f t="shared" si="54"/>
        <v>6.3863208969877072E-2</v>
      </c>
      <c r="Y156" s="73">
        <f t="shared" si="55"/>
        <v>3.9215884730844988E-2</v>
      </c>
      <c r="Z156" s="74">
        <f t="shared" si="56"/>
        <v>2.3096745200998363E-3</v>
      </c>
      <c r="AA156" s="74">
        <f t="shared" si="57"/>
        <v>1.7940968686805302E-2</v>
      </c>
      <c r="AB156" s="73">
        <f t="shared" si="58"/>
        <v>9.7726964488501225E-2</v>
      </c>
      <c r="AC156" s="74">
        <f t="shared" si="59"/>
        <v>0.11881767336222621</v>
      </c>
      <c r="AD156" s="74">
        <f t="shared" si="60"/>
        <v>9.3265507308571305E-2</v>
      </c>
      <c r="AE156" s="75">
        <f t="shared" si="61"/>
        <v>1.6183326972437313E-2</v>
      </c>
      <c r="AF156" s="76">
        <f t="shared" si="62"/>
        <v>13.461135622934044</v>
      </c>
      <c r="AG156" s="77">
        <f t="shared" si="63"/>
        <v>3.9301473316811122</v>
      </c>
    </row>
    <row r="157" spans="1:33" x14ac:dyDescent="0.2">
      <c r="A157" s="2"/>
      <c r="B157" s="68">
        <v>-30</v>
      </c>
      <c r="C157" s="69">
        <v>60</v>
      </c>
      <c r="D157" s="70">
        <v>50</v>
      </c>
      <c r="E157" s="71">
        <v>2.53667</v>
      </c>
      <c r="F157" s="72">
        <v>0.87949999999999995</v>
      </c>
      <c r="G157" s="73">
        <v>2.3835899999999999</v>
      </c>
      <c r="H157" s="74">
        <v>-9.3619999999999995E-2</v>
      </c>
      <c r="I157" s="74">
        <v>4.897E-2</v>
      </c>
      <c r="J157" s="73">
        <v>0.91193999999999997</v>
      </c>
      <c r="K157" s="74">
        <v>0.49948999999999999</v>
      </c>
      <c r="L157" s="74">
        <v>0.42876999999999998</v>
      </c>
      <c r="M157" s="75">
        <f t="shared" si="64"/>
        <v>0.63248426829999993</v>
      </c>
      <c r="N157" s="76">
        <v>116.39939272727274</v>
      </c>
      <c r="O157" s="77">
        <v>99.812839999999994</v>
      </c>
      <c r="T157" s="68">
        <f t="shared" si="50"/>
        <v>-0.15</v>
      </c>
      <c r="U157" s="69">
        <f t="shared" si="51"/>
        <v>0.3</v>
      </c>
      <c r="V157" s="70">
        <f t="shared" si="52"/>
        <v>0.25</v>
      </c>
      <c r="W157" s="71">
        <f t="shared" si="53"/>
        <v>0.51348659639804139</v>
      </c>
      <c r="X157" s="63">
        <f t="shared" si="54"/>
        <v>0.1780331937272398</v>
      </c>
      <c r="Y157" s="73">
        <f t="shared" si="55"/>
        <v>0.48249930669279306</v>
      </c>
      <c r="Z157" s="74">
        <f t="shared" si="56"/>
        <v>-1.8951071741607945E-2</v>
      </c>
      <c r="AA157" s="74">
        <f t="shared" si="57"/>
        <v>9.9127748684740575E-3</v>
      </c>
      <c r="AB157" s="73">
        <f t="shared" si="58"/>
        <v>0.18459987571076641</v>
      </c>
      <c r="AC157" s="74">
        <f t="shared" si="59"/>
        <v>0.10110949395658785</v>
      </c>
      <c r="AD157" s="74">
        <f t="shared" si="60"/>
        <v>8.6793965292130307E-2</v>
      </c>
      <c r="AE157" s="75">
        <f t="shared" si="61"/>
        <v>2.59167181458596E-2</v>
      </c>
      <c r="AF157" s="76">
        <f t="shared" si="62"/>
        <v>6.3891497335341434</v>
      </c>
      <c r="AG157" s="77">
        <f t="shared" si="63"/>
        <v>5.4787156972844455</v>
      </c>
    </row>
    <row r="158" spans="1:33" x14ac:dyDescent="0.2">
      <c r="A158" s="2"/>
      <c r="B158" s="68">
        <v>-10</v>
      </c>
      <c r="C158" s="69">
        <v>0</v>
      </c>
      <c r="D158" s="70">
        <v>50</v>
      </c>
      <c r="E158" s="71">
        <v>1.0805899999999999</v>
      </c>
      <c r="F158" s="73">
        <v>0.50439999999999996</v>
      </c>
      <c r="G158" s="73">
        <v>0.36853000000000002</v>
      </c>
      <c r="H158" s="74">
        <v>3.9530000000000003E-2</v>
      </c>
      <c r="I158" s="74">
        <v>-0.27317000000000002</v>
      </c>
      <c r="J158" s="73">
        <v>0.59970999999999997</v>
      </c>
      <c r="K158" s="74">
        <v>0.73153000000000001</v>
      </c>
      <c r="L158" s="74">
        <v>0.56096000000000001</v>
      </c>
      <c r="M158" s="75">
        <f t="shared" si="64"/>
        <v>0.60473217329999995</v>
      </c>
      <c r="N158" s="76">
        <v>215.66198727272729</v>
      </c>
      <c r="O158" s="77">
        <v>71.569379999999995</v>
      </c>
      <c r="T158" s="68">
        <f t="shared" si="50"/>
        <v>-0.05</v>
      </c>
      <c r="U158" s="69">
        <f t="shared" si="51"/>
        <v>0</v>
      </c>
      <c r="V158" s="70">
        <f t="shared" si="52"/>
        <v>0.25</v>
      </c>
      <c r="W158" s="71">
        <f t="shared" si="53"/>
        <v>0.21873892985755319</v>
      </c>
      <c r="X158" s="63">
        <f t="shared" si="54"/>
        <v>0.10210340297443973</v>
      </c>
      <c r="Y158" s="73">
        <f t="shared" si="55"/>
        <v>7.4599855468220219E-2</v>
      </c>
      <c r="Z158" s="74">
        <f t="shared" si="56"/>
        <v>8.0018785082862868E-3</v>
      </c>
      <c r="AA158" s="74">
        <f t="shared" si="57"/>
        <v>-5.5296563422933598E-2</v>
      </c>
      <c r="AB158" s="73">
        <f t="shared" si="58"/>
        <v>0.12139657374663215</v>
      </c>
      <c r="AC158" s="74">
        <f t="shared" si="59"/>
        <v>0.14808029813222029</v>
      </c>
      <c r="AD158" s="74">
        <f t="shared" si="60"/>
        <v>0.11355258709861563</v>
      </c>
      <c r="AE158" s="75">
        <f t="shared" si="61"/>
        <v>2.4779546424568713E-2</v>
      </c>
      <c r="AF158" s="76">
        <f t="shared" si="62"/>
        <v>11.837662518956973</v>
      </c>
      <c r="AG158" s="77">
        <f t="shared" si="63"/>
        <v>3.928435316046667</v>
      </c>
    </row>
    <row r="159" spans="1:33" x14ac:dyDescent="0.2">
      <c r="A159" s="2"/>
      <c r="B159" s="68">
        <v>30</v>
      </c>
      <c r="C159" s="69">
        <v>-60</v>
      </c>
      <c r="D159" s="70">
        <v>50</v>
      </c>
      <c r="E159" s="71">
        <v>2.58216</v>
      </c>
      <c r="F159" s="73">
        <v>0.89093</v>
      </c>
      <c r="G159" s="73">
        <v>2.4337900000000001</v>
      </c>
      <c r="H159" s="74">
        <v>-9.0370000000000006E-2</v>
      </c>
      <c r="I159" s="74">
        <v>3.7929999999999998E-2</v>
      </c>
      <c r="J159" s="73">
        <v>0.92134000000000005</v>
      </c>
      <c r="K159" s="74">
        <v>0.45859</v>
      </c>
      <c r="L159" s="74">
        <v>0.41027000000000002</v>
      </c>
      <c r="M159" s="75">
        <f t="shared" si="64"/>
        <v>0.61374682830000005</v>
      </c>
      <c r="N159" s="76">
        <v>145.45207909090908</v>
      </c>
      <c r="O159" s="77">
        <v>85.203310000000002</v>
      </c>
      <c r="T159" s="68">
        <f t="shared" si="50"/>
        <v>0.15</v>
      </c>
      <c r="U159" s="69">
        <f t="shared" si="51"/>
        <v>-0.3</v>
      </c>
      <c r="V159" s="70">
        <f t="shared" si="52"/>
        <v>0.25</v>
      </c>
      <c r="W159" s="71">
        <f t="shared" si="53"/>
        <v>0.52269493065915806</v>
      </c>
      <c r="X159" s="63">
        <f t="shared" si="54"/>
        <v>0.18034691675657732</v>
      </c>
      <c r="Y159" s="73">
        <f t="shared" si="55"/>
        <v>0.49266106487938482</v>
      </c>
      <c r="Z159" s="74">
        <f t="shared" si="56"/>
        <v>-1.8293188990483981E-2</v>
      </c>
      <c r="AA159" s="74">
        <f t="shared" si="57"/>
        <v>7.6779977692714102E-3</v>
      </c>
      <c r="AB159" s="73">
        <f t="shared" si="58"/>
        <v>0.18650267505247883</v>
      </c>
      <c r="AC159" s="74">
        <f t="shared" si="59"/>
        <v>9.283029256552007E-2</v>
      </c>
      <c r="AD159" s="74">
        <f t="shared" si="60"/>
        <v>8.3049094247270805E-2</v>
      </c>
      <c r="AE159" s="75">
        <f t="shared" si="61"/>
        <v>2.5148931537411313E-2</v>
      </c>
      <c r="AF159" s="76">
        <f t="shared" si="62"/>
        <v>7.9838484599578798</v>
      </c>
      <c r="AG159" s="77">
        <f t="shared" si="63"/>
        <v>4.6768002188655569</v>
      </c>
    </row>
    <row r="160" spans="1:33" x14ac:dyDescent="0.2">
      <c r="A160" s="2"/>
      <c r="B160" s="68">
        <v>30</v>
      </c>
      <c r="C160" s="69">
        <v>60</v>
      </c>
      <c r="D160" s="70">
        <v>50</v>
      </c>
      <c r="E160" s="71">
        <v>2.6242299999999998</v>
      </c>
      <c r="F160" s="73">
        <v>0.86311000000000004</v>
      </c>
      <c r="G160" s="73">
        <v>2.4718200000000001</v>
      </c>
      <c r="H160" s="74">
        <v>-0.10915999999999999</v>
      </c>
      <c r="I160" s="74">
        <v>2.8719999999999999E-2</v>
      </c>
      <c r="J160" s="73">
        <v>0.89129999999999998</v>
      </c>
      <c r="K160" s="74">
        <v>0.45516000000000001</v>
      </c>
      <c r="L160" s="74">
        <v>0.41665000000000002</v>
      </c>
      <c r="M160" s="75">
        <f t="shared" si="64"/>
        <v>0.58759176904999999</v>
      </c>
      <c r="N160" s="76">
        <v>114.04829545454545</v>
      </c>
      <c r="O160" s="77">
        <v>73.224500000000006</v>
      </c>
      <c r="T160" s="68">
        <f t="shared" si="50"/>
        <v>0.15</v>
      </c>
      <c r="U160" s="69">
        <f t="shared" si="51"/>
        <v>0.3</v>
      </c>
      <c r="V160" s="70">
        <f t="shared" si="52"/>
        <v>0.25</v>
      </c>
      <c r="W160" s="71">
        <f t="shared" si="53"/>
        <v>0.53121096984063043</v>
      </c>
      <c r="X160" s="63">
        <f t="shared" si="54"/>
        <v>0.17471544040695616</v>
      </c>
      <c r="Y160" s="73">
        <f t="shared" si="55"/>
        <v>0.50035930519484473</v>
      </c>
      <c r="Z160" s="74">
        <f t="shared" si="56"/>
        <v>-2.2096763419289931E-2</v>
      </c>
      <c r="AA160" s="74">
        <f t="shared" si="57"/>
        <v>5.8136592653170284E-3</v>
      </c>
      <c r="AB160" s="73">
        <f t="shared" si="58"/>
        <v>0.18042181417747452</v>
      </c>
      <c r="AC160" s="74">
        <f t="shared" si="59"/>
        <v>9.2135973231256926E-2</v>
      </c>
      <c r="AD160" s="74">
        <f t="shared" si="60"/>
        <v>8.4340568694092621E-2</v>
      </c>
      <c r="AE160" s="75">
        <f t="shared" si="61"/>
        <v>2.4077200061002498E-2</v>
      </c>
      <c r="AF160" s="76">
        <f t="shared" si="62"/>
        <v>6.2600982654671729</v>
      </c>
      <c r="AG160" s="77">
        <f t="shared" si="63"/>
        <v>4.0192846689444455</v>
      </c>
    </row>
    <row r="161" spans="1:33" x14ac:dyDescent="0.2">
      <c r="A161" s="2"/>
      <c r="B161" s="89">
        <v>70</v>
      </c>
      <c r="C161" s="90">
        <v>0</v>
      </c>
      <c r="D161" s="91">
        <v>50</v>
      </c>
      <c r="E161" s="92">
        <v>0.57542000000000004</v>
      </c>
      <c r="F161" s="93">
        <v>0.22023999999999999</v>
      </c>
      <c r="G161" s="93">
        <v>0.11457000000000001</v>
      </c>
      <c r="H161" s="94">
        <v>-6.6299999999999998E-2</v>
      </c>
      <c r="I161" s="94">
        <v>0.47371000000000002</v>
      </c>
      <c r="J161" s="93">
        <v>0.36904999999999999</v>
      </c>
      <c r="K161" s="94">
        <v>0.46195999999999998</v>
      </c>
      <c r="L161" s="94">
        <v>0.28991</v>
      </c>
      <c r="M161" s="95">
        <f t="shared" si="64"/>
        <v>0.2168263761</v>
      </c>
      <c r="N161" s="96">
        <v>141.18641181818182</v>
      </c>
      <c r="O161" s="97">
        <v>41.350140000000003</v>
      </c>
      <c r="T161" s="68">
        <f t="shared" si="50"/>
        <v>0.35</v>
      </c>
      <c r="U161" s="69">
        <f t="shared" si="51"/>
        <v>0</v>
      </c>
      <c r="V161" s="70">
        <f t="shared" si="52"/>
        <v>0.25</v>
      </c>
      <c r="W161" s="71">
        <f t="shared" si="53"/>
        <v>0.11647965927746258</v>
      </c>
      <c r="X161" s="63">
        <f t="shared" si="54"/>
        <v>4.4582183725397719E-2</v>
      </c>
      <c r="Y161" s="73">
        <f t="shared" si="55"/>
        <v>2.3191885168083987E-2</v>
      </c>
      <c r="Z161" s="74">
        <f t="shared" si="56"/>
        <v>-1.3420808122928935E-2</v>
      </c>
      <c r="AA161" s="74">
        <f t="shared" si="57"/>
        <v>9.5890965549210658E-2</v>
      </c>
      <c r="AB161" s="73">
        <f t="shared" si="58"/>
        <v>7.4705116708400049E-2</v>
      </c>
      <c r="AC161" s="74">
        <f t="shared" si="59"/>
        <v>9.3512466372070141E-2</v>
      </c>
      <c r="AD161" s="74">
        <f t="shared" si="60"/>
        <v>5.8685165654876741E-2</v>
      </c>
      <c r="AE161" s="75">
        <f t="shared" si="61"/>
        <v>8.8846922486717737E-3</v>
      </c>
      <c r="AF161" s="76">
        <f t="shared" si="62"/>
        <v>7.7497064573209107</v>
      </c>
      <c r="AG161" s="77">
        <f t="shared" si="63"/>
        <v>2.2697045901400008</v>
      </c>
    </row>
    <row r="162" spans="1:33" x14ac:dyDescent="0.2">
      <c r="A162" s="2"/>
      <c r="B162" s="89">
        <v>90</v>
      </c>
      <c r="C162" s="90">
        <v>-60</v>
      </c>
      <c r="D162" s="91">
        <v>50</v>
      </c>
      <c r="E162" s="92">
        <v>2.5039699999999998</v>
      </c>
      <c r="F162" s="93">
        <v>0.87543000000000004</v>
      </c>
      <c r="G162" s="93">
        <v>2.3393199999999998</v>
      </c>
      <c r="H162" s="94">
        <v>-7.7890000000000001E-2</v>
      </c>
      <c r="I162" s="94">
        <v>-7.5100000000000002E-3</v>
      </c>
      <c r="J162" s="93">
        <v>0.90061999999999998</v>
      </c>
      <c r="K162" s="94">
        <v>0.51337999999999995</v>
      </c>
      <c r="L162" s="94">
        <v>0.43754999999999999</v>
      </c>
      <c r="M162" s="95">
        <f t="shared" si="64"/>
        <v>0.63306270565</v>
      </c>
      <c r="N162" s="96">
        <v>128.6536890909091</v>
      </c>
      <c r="O162" s="97">
        <v>66.209990000000005</v>
      </c>
      <c r="T162" s="68">
        <f t="shared" si="50"/>
        <v>0.45</v>
      </c>
      <c r="U162" s="69">
        <f t="shared" si="51"/>
        <v>-0.3</v>
      </c>
      <c r="V162" s="70">
        <f t="shared" si="52"/>
        <v>0.25</v>
      </c>
      <c r="W162" s="71">
        <f t="shared" si="53"/>
        <v>0.50686728379442481</v>
      </c>
      <c r="X162" s="63">
        <f t="shared" si="54"/>
        <v>0.17720932209737073</v>
      </c>
      <c r="Y162" s="73">
        <f t="shared" si="55"/>
        <v>0.4735379314951752</v>
      </c>
      <c r="Z162" s="74">
        <f t="shared" si="56"/>
        <v>-1.5766919226167946E-2</v>
      </c>
      <c r="AA162" s="74">
        <f t="shared" si="57"/>
        <v>-1.5202152187510755E-3</v>
      </c>
      <c r="AB162" s="73">
        <f t="shared" si="58"/>
        <v>0.18230841948223617</v>
      </c>
      <c r="AC162" s="74">
        <f t="shared" si="59"/>
        <v>0.10392118362216073</v>
      </c>
      <c r="AD162" s="74">
        <f t="shared" si="60"/>
        <v>8.8571260847474451E-2</v>
      </c>
      <c r="AE162" s="75">
        <f t="shared" si="61"/>
        <v>2.5940420233826599E-2</v>
      </c>
      <c r="AF162" s="76">
        <f t="shared" si="62"/>
        <v>7.0617866993456584</v>
      </c>
      <c r="AG162" s="77">
        <f t="shared" si="63"/>
        <v>3.6342589944344454</v>
      </c>
    </row>
    <row r="163" spans="1:33" x14ac:dyDescent="0.2">
      <c r="A163" s="2"/>
      <c r="B163" s="89">
        <v>90</v>
      </c>
      <c r="C163" s="90">
        <v>0</v>
      </c>
      <c r="D163" s="91">
        <v>50</v>
      </c>
      <c r="E163" s="92">
        <v>0.76080000000000003</v>
      </c>
      <c r="F163" s="93">
        <v>0.31646999999999997</v>
      </c>
      <c r="G163" s="93">
        <v>0.18887000000000001</v>
      </c>
      <c r="H163" s="94">
        <v>1.6539999999999999E-2</v>
      </c>
      <c r="I163" s="94">
        <v>0.10657</v>
      </c>
      <c r="J163" s="93">
        <v>0.47911999999999999</v>
      </c>
      <c r="K163" s="94">
        <v>0.56798000000000004</v>
      </c>
      <c r="L163" s="94">
        <v>0.45184000000000002</v>
      </c>
      <c r="M163" s="95">
        <f t="shared" si="64"/>
        <v>0.37815832020000001</v>
      </c>
      <c r="N163" s="96">
        <v>138.62479818181819</v>
      </c>
      <c r="O163" s="97">
        <v>40.328719999999997</v>
      </c>
      <c r="T163" s="68">
        <f t="shared" si="50"/>
        <v>0.45</v>
      </c>
      <c r="U163" s="69">
        <f t="shared" si="51"/>
        <v>0</v>
      </c>
      <c r="V163" s="70">
        <f t="shared" si="52"/>
        <v>0.25</v>
      </c>
      <c r="W163" s="71">
        <f t="shared" si="53"/>
        <v>0.15400529140157368</v>
      </c>
      <c r="X163" s="63">
        <f t="shared" si="54"/>
        <v>6.4061585922523673E-2</v>
      </c>
      <c r="Y163" s="73">
        <f t="shared" si="55"/>
        <v>3.8232096986087302E-2</v>
      </c>
      <c r="Z163" s="74">
        <f t="shared" si="56"/>
        <v>3.3481171395662833E-3</v>
      </c>
      <c r="AA163" s="74">
        <f t="shared" si="57"/>
        <v>2.1572481473009601E-2</v>
      </c>
      <c r="AB163" s="73">
        <f t="shared" si="58"/>
        <v>9.6986087298004703E-2</v>
      </c>
      <c r="AC163" s="74">
        <f t="shared" si="59"/>
        <v>0.1149736138410434</v>
      </c>
      <c r="AD163" s="74">
        <f t="shared" si="60"/>
        <v>9.1463920697801057E-2</v>
      </c>
      <c r="AE163" s="75">
        <f t="shared" si="61"/>
        <v>1.5495440899229598E-2</v>
      </c>
      <c r="AF163" s="76">
        <f t="shared" si="62"/>
        <v>7.6090997694446481</v>
      </c>
      <c r="AG163" s="77">
        <f t="shared" si="63"/>
        <v>2.2136389598311115</v>
      </c>
    </row>
    <row r="164" spans="1:33" x14ac:dyDescent="0.2">
      <c r="A164" s="2"/>
      <c r="B164" s="89">
        <v>90</v>
      </c>
      <c r="C164" s="90">
        <v>60</v>
      </c>
      <c r="D164" s="91">
        <v>50</v>
      </c>
      <c r="E164" s="92">
        <v>2.5223100000000001</v>
      </c>
      <c r="F164" s="93">
        <v>0.87707000000000002</v>
      </c>
      <c r="G164" s="93">
        <v>2.34436</v>
      </c>
      <c r="H164" s="94">
        <v>-8.2100000000000006E-2</v>
      </c>
      <c r="I164" s="94">
        <v>1.306E-2</v>
      </c>
      <c r="J164" s="93">
        <v>0.89748000000000006</v>
      </c>
      <c r="K164" s="94">
        <v>0.49490000000000001</v>
      </c>
      <c r="L164" s="94">
        <v>0.44190000000000002</v>
      </c>
      <c r="M164" s="95">
        <f t="shared" si="64"/>
        <v>0.62283598520000005</v>
      </c>
      <c r="N164" s="96">
        <v>105.40476090909091</v>
      </c>
      <c r="O164" s="97">
        <v>60.128720000000001</v>
      </c>
      <c r="T164" s="68">
        <f t="shared" si="50"/>
        <v>0.45</v>
      </c>
      <c r="U164" s="69">
        <f t="shared" si="51"/>
        <v>0.3</v>
      </c>
      <c r="V164" s="70">
        <f t="shared" si="52"/>
        <v>0.25</v>
      </c>
      <c r="W164" s="71">
        <f t="shared" ref="W164:W196" si="65">E164/$R$8</f>
        <v>0.51057976676538286</v>
      </c>
      <c r="X164" s="63">
        <f t="shared" ref="X164:X196" si="66">F164/$R$8</f>
        <v>0.17754129985486097</v>
      </c>
      <c r="Y164" s="73">
        <f t="shared" ref="Y164:Y196" si="67">G164/$R$8</f>
        <v>0.47455815582307209</v>
      </c>
      <c r="Z164" s="74">
        <f t="shared" ref="Z164:Z196" si="68">H164/$R$8</f>
        <v>-1.6619130420700842E-2</v>
      </c>
      <c r="AA164" s="74">
        <f t="shared" ref="AA164:AA196" si="69">I164/$R$8</f>
        <v>2.6436765322089277E-3</v>
      </c>
      <c r="AB164" s="73">
        <f t="shared" ref="AB164:AB196" si="70">J164/$R$8</f>
        <v>0.18167280353191947</v>
      </c>
      <c r="AC164" s="74">
        <f t="shared" ref="AC164:AC196" si="71">K164/$R$8</f>
        <v>0.10018036108653892</v>
      </c>
      <c r="AD164" s="74">
        <f t="shared" ref="AD164:AD196" si="72">L164/$R$8</f>
        <v>8.9451811606671136E-2</v>
      </c>
      <c r="AE164" s="75">
        <f t="shared" si="61"/>
        <v>2.5521369445146061E-2</v>
      </c>
      <c r="AF164" s="76">
        <f t="shared" ref="AF164:AF196" si="73">N164/$R$11</f>
        <v>5.7856556146599001</v>
      </c>
      <c r="AG164" s="77">
        <f t="shared" ref="AG164:AG196" si="74">O164/$R$11</f>
        <v>3.3004587598311117</v>
      </c>
    </row>
    <row r="165" spans="1:33" x14ac:dyDescent="0.2">
      <c r="A165" s="2"/>
      <c r="B165" s="89">
        <v>110</v>
      </c>
      <c r="C165" s="90">
        <v>0</v>
      </c>
      <c r="D165" s="91">
        <v>50</v>
      </c>
      <c r="E165" s="92">
        <v>1.1341600000000001</v>
      </c>
      <c r="F165" s="93">
        <v>0.53505000000000003</v>
      </c>
      <c r="G165" s="93">
        <v>0.35970999999999997</v>
      </c>
      <c r="H165" s="94">
        <v>5.9180000000000003E-2</v>
      </c>
      <c r="I165" s="94">
        <v>-0.24524000000000001</v>
      </c>
      <c r="J165" s="93">
        <v>0.60423000000000004</v>
      </c>
      <c r="K165" s="94">
        <v>0.71331</v>
      </c>
      <c r="L165" s="94">
        <v>0.58953999999999995</v>
      </c>
      <c r="M165" s="95">
        <f t="shared" si="64"/>
        <v>0.61073123029999998</v>
      </c>
      <c r="N165" s="96">
        <v>118.56187000000001</v>
      </c>
      <c r="O165" s="97">
        <v>36.297539999999998</v>
      </c>
      <c r="T165" s="68">
        <f t="shared" si="50"/>
        <v>0.55000000000000004</v>
      </c>
      <c r="U165" s="69">
        <f t="shared" si="51"/>
        <v>0</v>
      </c>
      <c r="V165" s="70">
        <f t="shared" si="52"/>
        <v>0.25</v>
      </c>
      <c r="W165" s="71">
        <f t="shared" si="65"/>
        <v>0.22958286185069507</v>
      </c>
      <c r="X165" s="63">
        <f t="shared" si="66"/>
        <v>0.10830774338119348</v>
      </c>
      <c r="Y165" s="73">
        <f t="shared" si="67"/>
        <v>7.2814462894400703E-2</v>
      </c>
      <c r="Z165" s="74">
        <f t="shared" si="68"/>
        <v>1.1979538834312737E-2</v>
      </c>
      <c r="AA165" s="74">
        <f t="shared" si="69"/>
        <v>-4.9642820272505161E-2</v>
      </c>
      <c r="AB165" s="73">
        <f t="shared" si="70"/>
        <v>0.12231153683434919</v>
      </c>
      <c r="AC165" s="74">
        <f t="shared" si="71"/>
        <v>0.14439210621668838</v>
      </c>
      <c r="AD165" s="74">
        <f t="shared" si="72"/>
        <v>0.11933790679926884</v>
      </c>
      <c r="AE165" s="75">
        <f t="shared" si="61"/>
        <v>2.5025364189851376E-2</v>
      </c>
      <c r="AF165" s="76">
        <f t="shared" si="73"/>
        <v>6.5078478707588907</v>
      </c>
      <c r="AG165" s="77">
        <f t="shared" si="74"/>
        <v>1.9923679375400003</v>
      </c>
    </row>
    <row r="166" spans="1:33" x14ac:dyDescent="0.2">
      <c r="A166" s="2"/>
      <c r="B166" s="89">
        <v>150</v>
      </c>
      <c r="C166" s="90">
        <v>-60</v>
      </c>
      <c r="D166" s="91">
        <v>50</v>
      </c>
      <c r="E166" s="92">
        <v>2.60351</v>
      </c>
      <c r="F166" s="93">
        <v>0.88863000000000003</v>
      </c>
      <c r="G166" s="93">
        <v>2.4391400000000001</v>
      </c>
      <c r="H166" s="94">
        <v>-7.4399999999999994E-2</v>
      </c>
      <c r="I166" s="94">
        <v>-7.5000000000000002E-4</v>
      </c>
      <c r="J166" s="93">
        <v>0.91083000000000003</v>
      </c>
      <c r="K166" s="94">
        <v>0.46211000000000002</v>
      </c>
      <c r="L166" s="94">
        <v>0.42222999999999999</v>
      </c>
      <c r="M166" s="95">
        <f t="shared" si="64"/>
        <v>0.61071755695000007</v>
      </c>
      <c r="N166" s="96">
        <v>107.92198</v>
      </c>
      <c r="O166" s="97">
        <v>51.425600000000003</v>
      </c>
      <c r="T166" s="68">
        <f t="shared" si="50"/>
        <v>0.75</v>
      </c>
      <c r="U166" s="69">
        <f t="shared" si="51"/>
        <v>-0.3</v>
      </c>
      <c r="V166" s="70">
        <f t="shared" si="52"/>
        <v>0.25</v>
      </c>
      <c r="W166" s="71">
        <f t="shared" si="65"/>
        <v>0.52701671427038788</v>
      </c>
      <c r="X166" s="63">
        <f t="shared" si="66"/>
        <v>0.17988133819424346</v>
      </c>
      <c r="Y166" s="73">
        <f t="shared" si="67"/>
        <v>0.49374404110046582</v>
      </c>
      <c r="Z166" s="74">
        <f t="shared" si="68"/>
        <v>-1.5060454364191745E-2</v>
      </c>
      <c r="AA166" s="74">
        <f t="shared" si="69"/>
        <v>-1.5181909641322325E-4</v>
      </c>
      <c r="AB166" s="73">
        <f t="shared" si="70"/>
        <v>0.18437518344807485</v>
      </c>
      <c r="AC166" s="74">
        <f t="shared" si="71"/>
        <v>9.3542830191352802E-2</v>
      </c>
      <c r="AD166" s="74">
        <f t="shared" si="72"/>
        <v>8.5470102771407E-2</v>
      </c>
      <c r="AE166" s="75">
        <f t="shared" si="61"/>
        <v>2.50248039097372E-2</v>
      </c>
      <c r="AF166" s="76">
        <f t="shared" si="73"/>
        <v>5.9238254908688903</v>
      </c>
      <c r="AG166" s="77">
        <f t="shared" si="74"/>
        <v>2.822745470044445</v>
      </c>
    </row>
    <row r="167" spans="1:33" x14ac:dyDescent="0.2">
      <c r="A167" s="2"/>
      <c r="B167" s="89">
        <v>150</v>
      </c>
      <c r="C167" s="90">
        <v>60</v>
      </c>
      <c r="D167" s="91">
        <v>50</v>
      </c>
      <c r="E167" s="92">
        <v>2.5569299999999999</v>
      </c>
      <c r="F167" s="93">
        <v>0.92401</v>
      </c>
      <c r="G167" s="93">
        <v>2.38314</v>
      </c>
      <c r="H167" s="94">
        <v>-8.7830000000000005E-2</v>
      </c>
      <c r="I167" s="94">
        <v>1.244E-2</v>
      </c>
      <c r="J167" s="93">
        <v>0.95043</v>
      </c>
      <c r="K167" s="94">
        <v>0.46881</v>
      </c>
      <c r="L167" s="94">
        <v>0.42351</v>
      </c>
      <c r="M167" s="95">
        <f t="shared" si="64"/>
        <v>0.65123036055000005</v>
      </c>
      <c r="N167" s="96">
        <v>91.549356363636349</v>
      </c>
      <c r="O167" s="97">
        <v>48.431080000000001</v>
      </c>
      <c r="T167" s="68">
        <f t="shared" si="50"/>
        <v>0.75</v>
      </c>
      <c r="U167" s="69">
        <f t="shared" si="51"/>
        <v>0.3</v>
      </c>
      <c r="V167" s="70">
        <f t="shared" si="52"/>
        <v>0.25</v>
      </c>
      <c r="W167" s="71">
        <f t="shared" si="65"/>
        <v>0.51758773625581722</v>
      </c>
      <c r="X167" s="63">
        <f t="shared" si="66"/>
        <v>0.1870431510357099</v>
      </c>
      <c r="Y167" s="73">
        <f t="shared" si="67"/>
        <v>0.48240821523494515</v>
      </c>
      <c r="Z167" s="74">
        <f t="shared" si="68"/>
        <v>-1.7779028317297864E-2</v>
      </c>
      <c r="AA167" s="74">
        <f t="shared" si="69"/>
        <v>2.518172745840663E-3</v>
      </c>
      <c r="AB167" s="73">
        <f t="shared" si="70"/>
        <v>0.19239123173869302</v>
      </c>
      <c r="AC167" s="74">
        <f t="shared" si="71"/>
        <v>9.4899080785977585E-2</v>
      </c>
      <c r="AD167" s="74">
        <f t="shared" si="72"/>
        <v>8.5729207362618909E-2</v>
      </c>
      <c r="AE167" s="75">
        <f t="shared" si="61"/>
        <v>2.6684859289488952E-2</v>
      </c>
      <c r="AF167" s="76">
        <f t="shared" si="73"/>
        <v>5.0251339986492933</v>
      </c>
      <c r="AG167" s="77">
        <f t="shared" si="74"/>
        <v>2.6583765999688893</v>
      </c>
    </row>
    <row r="168" spans="1:33" x14ac:dyDescent="0.2">
      <c r="A168" s="2"/>
      <c r="B168" s="89">
        <v>190</v>
      </c>
      <c r="C168" s="90">
        <v>0</v>
      </c>
      <c r="D168" s="91">
        <v>50</v>
      </c>
      <c r="E168" s="92">
        <v>0.59736999999999996</v>
      </c>
      <c r="F168" s="93">
        <v>0.23024</v>
      </c>
      <c r="G168" s="93">
        <v>0.10503</v>
      </c>
      <c r="H168" s="94">
        <v>-4.0899999999999999E-2</v>
      </c>
      <c r="I168" s="94">
        <v>0.48920999999999998</v>
      </c>
      <c r="J168" s="93">
        <v>0.3821</v>
      </c>
      <c r="K168" s="94">
        <v>0.46322000000000002</v>
      </c>
      <c r="L168" s="94">
        <v>0.31723000000000001</v>
      </c>
      <c r="M168" s="95">
        <f t="shared" si="64"/>
        <v>0.23060402565000002</v>
      </c>
      <c r="N168" s="96">
        <v>98.850051818181825</v>
      </c>
      <c r="O168" s="97">
        <v>27.70299</v>
      </c>
      <c r="T168" s="68">
        <f t="shared" si="50"/>
        <v>0.95</v>
      </c>
      <c r="U168" s="69">
        <f t="shared" si="51"/>
        <v>0</v>
      </c>
      <c r="V168" s="70">
        <f t="shared" si="52"/>
        <v>0.25</v>
      </c>
      <c r="W168" s="71">
        <f t="shared" si="65"/>
        <v>0.12092289816582288</v>
      </c>
      <c r="X168" s="63">
        <f t="shared" si="66"/>
        <v>4.6606438344240698E-2</v>
      </c>
      <c r="Y168" s="73">
        <f t="shared" si="67"/>
        <v>2.1260746261707784E-2</v>
      </c>
      <c r="Z168" s="74">
        <f t="shared" si="68"/>
        <v>-8.2792013910677736E-3</v>
      </c>
      <c r="AA168" s="74">
        <f t="shared" si="69"/>
        <v>9.9028560208417257E-2</v>
      </c>
      <c r="AB168" s="73">
        <f t="shared" si="70"/>
        <v>7.7346768985990133E-2</v>
      </c>
      <c r="AC168" s="74">
        <f t="shared" si="71"/>
        <v>9.3767522454044364E-2</v>
      </c>
      <c r="AD168" s="74">
        <f t="shared" si="72"/>
        <v>6.4215429273555752E-2</v>
      </c>
      <c r="AE168" s="75">
        <f t="shared" si="61"/>
        <v>9.4492461482644421E-3</v>
      </c>
      <c r="AF168" s="76">
        <f t="shared" si="73"/>
        <v>5.4258683609609104</v>
      </c>
      <c r="AG168" s="77">
        <f t="shared" si="74"/>
        <v>1.5206140429900004</v>
      </c>
    </row>
    <row r="169" spans="1:33" x14ac:dyDescent="0.2">
      <c r="A169" s="2"/>
      <c r="B169" s="89">
        <v>210</v>
      </c>
      <c r="C169" s="90">
        <v>-60</v>
      </c>
      <c r="D169" s="91">
        <v>50</v>
      </c>
      <c r="E169" s="92">
        <v>2.6237300000000001</v>
      </c>
      <c r="F169" s="93">
        <v>0.90603</v>
      </c>
      <c r="G169" s="93">
        <v>2.4158599999999999</v>
      </c>
      <c r="H169" s="94">
        <v>-4.761E-2</v>
      </c>
      <c r="I169" s="94">
        <v>-1.4579999999999999E-2</v>
      </c>
      <c r="J169" s="93">
        <v>0.92039000000000004</v>
      </c>
      <c r="K169" s="94">
        <v>0.52388999999999997</v>
      </c>
      <c r="L169" s="94">
        <v>0.45085999999999998</v>
      </c>
      <c r="M169" s="95">
        <f t="shared" si="64"/>
        <v>0.66242661189999996</v>
      </c>
      <c r="N169" s="96">
        <v>101.40214818181819</v>
      </c>
      <c r="O169" s="97">
        <v>44.460650000000001</v>
      </c>
      <c r="T169" s="68">
        <f t="shared" si="50"/>
        <v>1.05</v>
      </c>
      <c r="U169" s="69">
        <f t="shared" si="51"/>
        <v>-0.3</v>
      </c>
      <c r="V169" s="70">
        <f t="shared" si="52"/>
        <v>0.25</v>
      </c>
      <c r="W169" s="71">
        <f t="shared" si="65"/>
        <v>0.53110975710968833</v>
      </c>
      <c r="X169" s="63">
        <f t="shared" si="66"/>
        <v>0.18340354123103023</v>
      </c>
      <c r="Y169" s="73">
        <f t="shared" si="67"/>
        <v>0.48903157634779937</v>
      </c>
      <c r="Z169" s="74">
        <f t="shared" si="68"/>
        <v>-9.6374762403114121E-3</v>
      </c>
      <c r="AA169" s="74">
        <f t="shared" si="69"/>
        <v>-2.95136323427306E-3</v>
      </c>
      <c r="AB169" s="73">
        <f t="shared" si="70"/>
        <v>0.18631037086368873</v>
      </c>
      <c r="AC169" s="74">
        <f t="shared" si="71"/>
        <v>0.10604867522656469</v>
      </c>
      <c r="AD169" s="74">
        <f t="shared" si="72"/>
        <v>9.1265543745154443E-2</v>
      </c>
      <c r="AE169" s="75">
        <f t="shared" si="61"/>
        <v>2.7143637641886667E-2</v>
      </c>
      <c r="AF169" s="76">
        <f t="shared" si="73"/>
        <v>5.5659526467946483</v>
      </c>
      <c r="AG169" s="77">
        <f t="shared" si="74"/>
        <v>2.4404401384277783</v>
      </c>
    </row>
    <row r="170" spans="1:33" x14ac:dyDescent="0.2">
      <c r="A170" s="2"/>
      <c r="B170" s="89">
        <v>210</v>
      </c>
      <c r="C170" s="90">
        <v>0</v>
      </c>
      <c r="D170" s="91">
        <v>50</v>
      </c>
      <c r="E170" s="92">
        <v>0.78012000000000004</v>
      </c>
      <c r="F170" s="93">
        <v>0.32862999999999998</v>
      </c>
      <c r="G170" s="93">
        <v>0.19267000000000001</v>
      </c>
      <c r="H170" s="94">
        <v>9.2099999999999994E-3</v>
      </c>
      <c r="I170" s="94">
        <v>0.10667</v>
      </c>
      <c r="J170" s="93">
        <v>0.48864999999999997</v>
      </c>
      <c r="K170" s="94">
        <v>0.58101999999999998</v>
      </c>
      <c r="L170" s="94">
        <v>0.45589000000000002</v>
      </c>
      <c r="M170" s="95">
        <f t="shared" si="64"/>
        <v>0.39209937750000001</v>
      </c>
      <c r="N170" s="96">
        <v>100.71917181818182</v>
      </c>
      <c r="O170" s="97">
        <v>29.65588</v>
      </c>
      <c r="T170" s="68">
        <f t="shared" si="50"/>
        <v>1.05</v>
      </c>
      <c r="U170" s="69">
        <f t="shared" si="51"/>
        <v>0</v>
      </c>
      <c r="V170" s="70">
        <f t="shared" si="52"/>
        <v>0.25</v>
      </c>
      <c r="W170" s="71">
        <f t="shared" si="65"/>
        <v>0.15791615132517831</v>
      </c>
      <c r="X170" s="63">
        <f t="shared" si="66"/>
        <v>6.6523079539036745E-2</v>
      </c>
      <c r="Y170" s="73">
        <f t="shared" si="67"/>
        <v>3.9001313741247635E-2</v>
      </c>
      <c r="Z170" s="74">
        <f t="shared" si="68"/>
        <v>1.8643385039543814E-3</v>
      </c>
      <c r="AA170" s="74">
        <f t="shared" si="69"/>
        <v>2.1592724019198033E-2</v>
      </c>
      <c r="AB170" s="73">
        <f t="shared" si="70"/>
        <v>9.8915201949762055E-2</v>
      </c>
      <c r="AC170" s="74">
        <f t="shared" si="71"/>
        <v>0.11761324186401463</v>
      </c>
      <c r="AD170" s="74">
        <f t="shared" si="72"/>
        <v>9.2283743818432462E-2</v>
      </c>
      <c r="AE170" s="75">
        <f t="shared" si="61"/>
        <v>1.6066690605835744E-2</v>
      </c>
      <c r="AF170" s="76">
        <f t="shared" si="73"/>
        <v>5.52846415008091</v>
      </c>
      <c r="AG170" s="77">
        <f t="shared" si="74"/>
        <v>1.6278079581022225</v>
      </c>
    </row>
    <row r="171" spans="1:33" x14ac:dyDescent="0.2">
      <c r="A171" s="2"/>
      <c r="B171" s="89">
        <v>210</v>
      </c>
      <c r="C171" s="90">
        <v>60</v>
      </c>
      <c r="D171" s="91">
        <v>50</v>
      </c>
      <c r="E171" s="92">
        <v>2.5832899999999999</v>
      </c>
      <c r="F171" s="93">
        <v>0.90181999999999995</v>
      </c>
      <c r="G171" s="93">
        <v>2.37704</v>
      </c>
      <c r="H171" s="94">
        <v>-7.3039999999999994E-2</v>
      </c>
      <c r="I171" s="94">
        <v>-6.1999999999999998E-3</v>
      </c>
      <c r="J171" s="93">
        <v>0.92344999999999999</v>
      </c>
      <c r="K171" s="94">
        <v>0.52583000000000002</v>
      </c>
      <c r="L171" s="94">
        <v>0.47411999999999999</v>
      </c>
      <c r="M171" s="95">
        <f t="shared" si="64"/>
        <v>0.6770234329</v>
      </c>
      <c r="N171" s="96">
        <v>85.213759090909093</v>
      </c>
      <c r="O171" s="97">
        <v>42.807749999999999</v>
      </c>
      <c r="T171" s="68">
        <f t="shared" si="50"/>
        <v>1.05</v>
      </c>
      <c r="U171" s="69">
        <f t="shared" si="51"/>
        <v>0.3</v>
      </c>
      <c r="V171" s="70">
        <f t="shared" si="52"/>
        <v>0.25</v>
      </c>
      <c r="W171" s="71">
        <f t="shared" si="65"/>
        <v>0.52292367143108731</v>
      </c>
      <c r="X171" s="63">
        <f t="shared" si="66"/>
        <v>0.18255133003649732</v>
      </c>
      <c r="Y171" s="73">
        <f t="shared" si="67"/>
        <v>0.48117341991745094</v>
      </c>
      <c r="Z171" s="74">
        <f t="shared" si="68"/>
        <v>-1.47851557360291E-2</v>
      </c>
      <c r="AA171" s="74">
        <f t="shared" si="69"/>
        <v>-1.2550378636826454E-3</v>
      </c>
      <c r="AB171" s="73">
        <f t="shared" si="70"/>
        <v>0.18692979277705468</v>
      </c>
      <c r="AC171" s="74">
        <f t="shared" si="71"/>
        <v>0.10644138062262025</v>
      </c>
      <c r="AD171" s="74">
        <f t="shared" si="72"/>
        <v>9.5973959988583213E-2</v>
      </c>
      <c r="AE171" s="75">
        <f t="shared" si="61"/>
        <v>2.7741757966206145E-2</v>
      </c>
      <c r="AF171" s="76">
        <f t="shared" si="73"/>
        <v>4.6773737683045464</v>
      </c>
      <c r="AG171" s="77">
        <f t="shared" si="74"/>
        <v>2.3497126410833338</v>
      </c>
    </row>
    <row r="172" spans="1:33" x14ac:dyDescent="0.2">
      <c r="A172" s="2"/>
      <c r="B172" s="89">
        <v>230</v>
      </c>
      <c r="C172" s="90">
        <v>0</v>
      </c>
      <c r="D172" s="91">
        <v>50</v>
      </c>
      <c r="E172" s="92">
        <v>1.1540999999999999</v>
      </c>
      <c r="F172" s="93">
        <v>0.54805000000000004</v>
      </c>
      <c r="G172" s="93">
        <v>0.37345</v>
      </c>
      <c r="H172" s="94">
        <v>-8.4499999999999992E-3</v>
      </c>
      <c r="I172" s="94">
        <v>-0.22178999999999999</v>
      </c>
      <c r="J172" s="93">
        <v>0.60389999999999999</v>
      </c>
      <c r="K172" s="94">
        <v>0.73758999999999997</v>
      </c>
      <c r="L172" s="94">
        <v>0.58874000000000004</v>
      </c>
      <c r="M172" s="95">
        <f t="shared" si="64"/>
        <v>0.62767450285000004</v>
      </c>
      <c r="N172" s="96">
        <v>91.327670909090912</v>
      </c>
      <c r="O172" s="97">
        <v>27.753070000000001</v>
      </c>
      <c r="T172" s="68">
        <f t="shared" si="50"/>
        <v>1.1499999999999999</v>
      </c>
      <c r="U172" s="69">
        <f t="shared" si="51"/>
        <v>0</v>
      </c>
      <c r="V172" s="70">
        <f t="shared" si="52"/>
        <v>0.25</v>
      </c>
      <c r="W172" s="71">
        <f t="shared" si="65"/>
        <v>0.23361922556066791</v>
      </c>
      <c r="X172" s="63">
        <f t="shared" si="66"/>
        <v>0.11093927438568935</v>
      </c>
      <c r="Y172" s="73">
        <f t="shared" si="67"/>
        <v>7.5595788740690964E-2</v>
      </c>
      <c r="Z172" s="74">
        <f t="shared" si="68"/>
        <v>-1.710495152922315E-3</v>
      </c>
      <c r="AA172" s="74">
        <f t="shared" si="69"/>
        <v>-4.4895943191318378E-2</v>
      </c>
      <c r="AB172" s="73">
        <f t="shared" si="70"/>
        <v>0.12224473643192736</v>
      </c>
      <c r="AC172" s="74">
        <f t="shared" si="71"/>
        <v>0.1493069964312391</v>
      </c>
      <c r="AD172" s="74">
        <f t="shared" si="72"/>
        <v>0.11917596642976142</v>
      </c>
      <c r="AE172" s="75">
        <f t="shared" si="61"/>
        <v>2.571963287154853E-2</v>
      </c>
      <c r="AF172" s="76">
        <f t="shared" si="73"/>
        <v>5.0129657086810111</v>
      </c>
      <c r="AG172" s="77">
        <f t="shared" si="74"/>
        <v>1.5233629286255559</v>
      </c>
    </row>
    <row r="173" spans="1:33" x14ac:dyDescent="0.2">
      <c r="A173" s="2"/>
      <c r="B173" s="68">
        <v>330</v>
      </c>
      <c r="C173" s="69">
        <v>-60</v>
      </c>
      <c r="D173" s="70">
        <v>50</v>
      </c>
      <c r="E173" s="98">
        <v>2.8415400000000002</v>
      </c>
      <c r="F173" s="109">
        <v>0.92303000000000002</v>
      </c>
      <c r="G173" s="75">
        <v>2.6894300000000002</v>
      </c>
      <c r="H173" s="74">
        <v>-5.8860000000000003E-2</v>
      </c>
      <c r="I173" s="74">
        <v>-3.1510000000000003E-2</v>
      </c>
      <c r="J173" s="75">
        <v>0.93816999999999995</v>
      </c>
      <c r="K173" s="74">
        <v>0.53444000000000003</v>
      </c>
      <c r="L173" s="74">
        <v>0.45840999999999998</v>
      </c>
      <c r="M173" s="75">
        <f t="shared" si="64"/>
        <v>0.68796439529999998</v>
      </c>
      <c r="N173" s="76">
        <v>80.139589999999998</v>
      </c>
      <c r="O173" s="77">
        <v>33.251289999999997</v>
      </c>
      <c r="T173" s="68">
        <f t="shared" si="50"/>
        <v>1.65</v>
      </c>
      <c r="U173" s="69">
        <f t="shared" si="51"/>
        <v>-0.3</v>
      </c>
      <c r="V173" s="70">
        <f t="shared" si="52"/>
        <v>0.25</v>
      </c>
      <c r="W173" s="98">
        <f t="shared" si="65"/>
        <v>0.57520004696270721</v>
      </c>
      <c r="X173" s="63">
        <f t="shared" si="66"/>
        <v>0.18684477408306327</v>
      </c>
      <c r="Y173" s="75">
        <f t="shared" si="67"/>
        <v>0.54440910995548675</v>
      </c>
      <c r="Z173" s="74">
        <f t="shared" si="68"/>
        <v>-1.1914762686509761E-2</v>
      </c>
      <c r="AA173" s="74">
        <f t="shared" si="69"/>
        <v>-6.3784263039742203E-3</v>
      </c>
      <c r="AB173" s="75">
        <f t="shared" si="70"/>
        <v>0.18990949557599154</v>
      </c>
      <c r="AC173" s="74">
        <f t="shared" si="71"/>
        <v>0.10818426384944405</v>
      </c>
      <c r="AD173" s="74">
        <f t="shared" si="72"/>
        <v>9.2793855982380893E-2</v>
      </c>
      <c r="AE173" s="75">
        <f t="shared" si="61"/>
        <v>2.8190075581326263E-2</v>
      </c>
      <c r="AF173" s="76">
        <f t="shared" si="73"/>
        <v>4.3988531907011117</v>
      </c>
      <c r="AG173" s="77">
        <f t="shared" si="74"/>
        <v>1.8251596135122223</v>
      </c>
    </row>
    <row r="174" spans="1:33" x14ac:dyDescent="0.2">
      <c r="A174" s="2"/>
      <c r="B174" s="68">
        <v>330</v>
      </c>
      <c r="C174" s="69">
        <v>0</v>
      </c>
      <c r="D174" s="70">
        <v>50</v>
      </c>
      <c r="E174" s="71">
        <v>0.80227999999999999</v>
      </c>
      <c r="F174" s="72">
        <v>0.34597</v>
      </c>
      <c r="G174" s="73">
        <v>0.19086</v>
      </c>
      <c r="H174" s="74">
        <v>7.8799999999999999E-3</v>
      </c>
      <c r="I174" s="74">
        <v>7.0059999999999997E-2</v>
      </c>
      <c r="J174" s="73">
        <v>0.49552000000000002</v>
      </c>
      <c r="K174" s="74">
        <v>0.58172999999999997</v>
      </c>
      <c r="L174" s="74">
        <v>0.49007000000000001</v>
      </c>
      <c r="M174" s="75">
        <f t="shared" si="64"/>
        <v>0.4120592341</v>
      </c>
      <c r="N174" s="76">
        <v>77.385701818181815</v>
      </c>
      <c r="O174" s="77">
        <v>23.530529999999999</v>
      </c>
      <c r="T174" s="68">
        <f t="shared" si="50"/>
        <v>1.65</v>
      </c>
      <c r="U174" s="69">
        <f t="shared" si="51"/>
        <v>0</v>
      </c>
      <c r="V174" s="70">
        <f t="shared" si="52"/>
        <v>0.25</v>
      </c>
      <c r="W174" s="71">
        <f t="shared" si="65"/>
        <v>0.16240189956053433</v>
      </c>
      <c r="X174" s="63">
        <f t="shared" si="66"/>
        <v>7.0033137048110469E-2</v>
      </c>
      <c r="Y174" s="73">
        <f t="shared" si="67"/>
        <v>3.8634923655237054E-2</v>
      </c>
      <c r="Z174" s="74">
        <f t="shared" si="68"/>
        <v>1.5951126396482657E-3</v>
      </c>
      <c r="AA174" s="74">
        <f t="shared" si="69"/>
        <v>1.4181927859613894E-2</v>
      </c>
      <c r="AB174" s="73">
        <f t="shared" si="70"/>
        <v>0.10030586487290719</v>
      </c>
      <c r="AC174" s="74">
        <f t="shared" si="71"/>
        <v>0.11775696394195248</v>
      </c>
      <c r="AD174" s="74">
        <f t="shared" si="72"/>
        <v>9.9202646105637754E-2</v>
      </c>
      <c r="AE174" s="75">
        <f t="shared" si="61"/>
        <v>1.6884567039544308E-2</v>
      </c>
      <c r="AF174" s="76">
        <f t="shared" si="73"/>
        <v>4.2476925743886875</v>
      </c>
      <c r="AG174" s="77">
        <f t="shared" si="74"/>
        <v>1.2915881771966669</v>
      </c>
    </row>
    <row r="175" spans="1:33" x14ac:dyDescent="0.2">
      <c r="A175" s="2"/>
      <c r="B175" s="100">
        <v>330</v>
      </c>
      <c r="C175" s="101">
        <v>60</v>
      </c>
      <c r="D175" s="102">
        <v>50</v>
      </c>
      <c r="E175" s="103">
        <v>2.7652700000000001</v>
      </c>
      <c r="F175" s="104">
        <v>0.95760000000000001</v>
      </c>
      <c r="G175" s="105">
        <v>2.6286700000000001</v>
      </c>
      <c r="H175" s="106">
        <v>-7.3830000000000007E-2</v>
      </c>
      <c r="I175" s="106">
        <v>-3.5209999999999998E-2</v>
      </c>
      <c r="J175" s="105">
        <v>0.96662999999999999</v>
      </c>
      <c r="K175" s="106">
        <v>0.51695999999999998</v>
      </c>
      <c r="L175" s="106">
        <v>0.45707999999999999</v>
      </c>
      <c r="M175" s="105">
        <f t="shared" si="64"/>
        <v>0.70527166245000006</v>
      </c>
      <c r="N175" s="107">
        <v>68.61111636363637</v>
      </c>
      <c r="O175" s="108">
        <v>32.3675</v>
      </c>
      <c r="T175" s="100">
        <f t="shared" si="50"/>
        <v>1.65</v>
      </c>
      <c r="U175" s="101">
        <f t="shared" si="51"/>
        <v>0.3</v>
      </c>
      <c r="V175" s="102">
        <f t="shared" si="52"/>
        <v>0.25</v>
      </c>
      <c r="W175" s="103">
        <f t="shared" si="65"/>
        <v>0.55976105698479184</v>
      </c>
      <c r="X175" s="63">
        <f t="shared" si="66"/>
        <v>0.19384262230040344</v>
      </c>
      <c r="Y175" s="105">
        <f t="shared" si="67"/>
        <v>0.53210973889139679</v>
      </c>
      <c r="Z175" s="106">
        <f t="shared" si="68"/>
        <v>-1.4945071850917698E-2</v>
      </c>
      <c r="AA175" s="106">
        <f t="shared" si="69"/>
        <v>-7.1274005129461204E-3</v>
      </c>
      <c r="AB175" s="105">
        <f t="shared" si="70"/>
        <v>0.19567052422121867</v>
      </c>
      <c r="AC175" s="106">
        <f t="shared" si="71"/>
        <v>0.10464586677570652</v>
      </c>
      <c r="AD175" s="106">
        <f t="shared" si="72"/>
        <v>9.2524630118074783E-2</v>
      </c>
      <c r="AE175" s="105">
        <f t="shared" si="61"/>
        <v>2.8899259330365995E-2</v>
      </c>
      <c r="AF175" s="107">
        <f t="shared" si="73"/>
        <v>3.7660565537426272</v>
      </c>
      <c r="AG175" s="108">
        <f t="shared" si="74"/>
        <v>1.7766484786111114</v>
      </c>
    </row>
    <row r="176" spans="1:33" x14ac:dyDescent="0.2">
      <c r="A176" s="2"/>
      <c r="B176" s="58">
        <v>-150</v>
      </c>
      <c r="C176" s="59">
        <v>-60</v>
      </c>
      <c r="D176" s="60">
        <v>70</v>
      </c>
      <c r="E176" s="61">
        <v>3.1560199999999998</v>
      </c>
      <c r="F176" s="62">
        <v>0.85197999999999996</v>
      </c>
      <c r="G176" s="63">
        <v>3.0407600000000001</v>
      </c>
      <c r="H176" s="64">
        <v>-0.10421999999999999</v>
      </c>
      <c r="I176" s="64">
        <v>0.13918</v>
      </c>
      <c r="J176" s="63">
        <v>0.86201000000000005</v>
      </c>
      <c r="K176" s="64">
        <v>0.64020999999999995</v>
      </c>
      <c r="L176" s="64">
        <v>0.40592</v>
      </c>
      <c r="M176" s="65">
        <f t="shared" si="64"/>
        <v>0.65885056529999997</v>
      </c>
      <c r="N176" s="66">
        <v>10.880368181818181</v>
      </c>
      <c r="O176" s="67">
        <v>40.68656</v>
      </c>
      <c r="T176" s="58">
        <f t="shared" si="50"/>
        <v>-0.75</v>
      </c>
      <c r="U176" s="59">
        <f t="shared" si="51"/>
        <v>-0.3</v>
      </c>
      <c r="V176" s="60">
        <f t="shared" si="52"/>
        <v>0.35</v>
      </c>
      <c r="W176" s="61">
        <f t="shared" si="65"/>
        <v>0.63885880621608104</v>
      </c>
      <c r="X176" s="63">
        <f t="shared" si="66"/>
        <v>0.17246244501618391</v>
      </c>
      <c r="Y176" s="63">
        <f t="shared" si="67"/>
        <v>0.61552724747929699</v>
      </c>
      <c r="Z176" s="64">
        <f t="shared" si="68"/>
        <v>-2.10967816375815E-2</v>
      </c>
      <c r="AA176" s="64">
        <f t="shared" si="69"/>
        <v>2.817357578505655E-2</v>
      </c>
      <c r="AB176" s="63">
        <f t="shared" si="70"/>
        <v>0.17449277239888344</v>
      </c>
      <c r="AC176" s="64">
        <f t="shared" si="71"/>
        <v>0.1295948049529462</v>
      </c>
      <c r="AD176" s="64">
        <f t="shared" si="72"/>
        <v>8.2168543488074106E-2</v>
      </c>
      <c r="AE176" s="65">
        <f t="shared" si="61"/>
        <v>2.6997105314596117E-2</v>
      </c>
      <c r="AF176" s="66">
        <f t="shared" si="73"/>
        <v>0.59722220057020203</v>
      </c>
      <c r="AG176" s="67">
        <f t="shared" si="74"/>
        <v>2.2332807576711113</v>
      </c>
    </row>
    <row r="177" spans="1:33" x14ac:dyDescent="0.2">
      <c r="A177" s="2"/>
      <c r="B177" s="68">
        <v>-150</v>
      </c>
      <c r="C177" s="69">
        <v>0</v>
      </c>
      <c r="D177" s="70">
        <v>70</v>
      </c>
      <c r="E177" s="71">
        <v>3.0771199999999999</v>
      </c>
      <c r="F177" s="72">
        <v>0.86362000000000005</v>
      </c>
      <c r="G177" s="73">
        <v>2.9420799999999998</v>
      </c>
      <c r="H177" s="74">
        <v>-8.8059999999999999E-2</v>
      </c>
      <c r="I177" s="74">
        <v>6.11E-3</v>
      </c>
      <c r="J177" s="73">
        <v>0.88390000000000002</v>
      </c>
      <c r="K177" s="74">
        <v>0.68640999999999996</v>
      </c>
      <c r="L177" s="74">
        <v>0.34622000000000003</v>
      </c>
      <c r="M177" s="75">
        <f t="shared" si="64"/>
        <v>0.68615309324999996</v>
      </c>
      <c r="N177" s="76">
        <v>81.71205181818182</v>
      </c>
      <c r="O177" s="77">
        <v>142.37125</v>
      </c>
      <c r="T177" s="68">
        <f t="shared" si="50"/>
        <v>-0.75</v>
      </c>
      <c r="U177" s="69">
        <f t="shared" si="51"/>
        <v>0</v>
      </c>
      <c r="V177" s="70">
        <f t="shared" si="52"/>
        <v>0.35</v>
      </c>
      <c r="W177" s="71">
        <f t="shared" si="65"/>
        <v>0.62288743727341001</v>
      </c>
      <c r="X177" s="63">
        <f t="shared" si="66"/>
        <v>0.17481867739251716</v>
      </c>
      <c r="Y177" s="73">
        <f t="shared" si="67"/>
        <v>0.59555190290055449</v>
      </c>
      <c r="Z177" s="74">
        <f t="shared" si="68"/>
        <v>-1.7825586173531253E-2</v>
      </c>
      <c r="AA177" s="74">
        <f t="shared" si="69"/>
        <v>1.2368195721130586E-3</v>
      </c>
      <c r="AB177" s="73">
        <f t="shared" si="70"/>
        <v>0.1789238657595307</v>
      </c>
      <c r="AC177" s="74">
        <f t="shared" si="71"/>
        <v>0.13894686129200076</v>
      </c>
      <c r="AD177" s="74">
        <f t="shared" si="72"/>
        <v>7.0083743413581548E-2</v>
      </c>
      <c r="AE177" s="75">
        <f t="shared" si="61"/>
        <v>2.8115855546046897E-2</v>
      </c>
      <c r="AF177" s="76">
        <f t="shared" si="73"/>
        <v>4.4851654451831324</v>
      </c>
      <c r="AG177" s="77">
        <f t="shared" si="74"/>
        <v>7.8147420934722236</v>
      </c>
    </row>
    <row r="178" spans="1:33" x14ac:dyDescent="0.2">
      <c r="A178" s="2"/>
      <c r="B178" s="68">
        <v>-150</v>
      </c>
      <c r="C178" s="69">
        <v>60</v>
      </c>
      <c r="D178" s="70">
        <v>70</v>
      </c>
      <c r="E178" s="71">
        <v>3.2374900000000002</v>
      </c>
      <c r="F178" s="72">
        <v>0.88326000000000005</v>
      </c>
      <c r="G178" s="73">
        <v>3.1208200000000001</v>
      </c>
      <c r="H178" s="74">
        <v>-0.14283999999999999</v>
      </c>
      <c r="I178" s="74">
        <v>0.14124999999999999</v>
      </c>
      <c r="J178" s="73">
        <v>0.89268000000000003</v>
      </c>
      <c r="K178" s="74">
        <v>0.65300000000000002</v>
      </c>
      <c r="L178" s="74">
        <v>0.40899000000000002</v>
      </c>
      <c r="M178" s="75">
        <f t="shared" si="64"/>
        <v>0.69527970125000005</v>
      </c>
      <c r="N178" s="76">
        <v>9.2470909090909092</v>
      </c>
      <c r="O178" s="77">
        <v>42.67315</v>
      </c>
      <c r="T178" s="68">
        <f t="shared" si="50"/>
        <v>-0.75</v>
      </c>
      <c r="U178" s="69">
        <f t="shared" si="51"/>
        <v>0.3</v>
      </c>
      <c r="V178" s="70">
        <f t="shared" si="52"/>
        <v>0.35</v>
      </c>
      <c r="W178" s="71">
        <f t="shared" si="65"/>
        <v>0.65535040859579485</v>
      </c>
      <c r="X178" s="63">
        <f t="shared" si="66"/>
        <v>0.17879431346392477</v>
      </c>
      <c r="Y178" s="73">
        <f t="shared" si="67"/>
        <v>0.63173342995775383</v>
      </c>
      <c r="Z178" s="74">
        <f t="shared" si="68"/>
        <v>-2.891445297555308E-2</v>
      </c>
      <c r="AA178" s="74">
        <f t="shared" si="69"/>
        <v>2.8592596491157043E-2</v>
      </c>
      <c r="AB178" s="73">
        <f t="shared" si="70"/>
        <v>0.18070116131487485</v>
      </c>
      <c r="AC178" s="74">
        <f t="shared" si="71"/>
        <v>0.13218382661044639</v>
      </c>
      <c r="AD178" s="74">
        <f t="shared" si="72"/>
        <v>8.278998965605891E-2</v>
      </c>
      <c r="AE178" s="75">
        <f t="shared" si="61"/>
        <v>2.8489828052587658E-2</v>
      </c>
      <c r="AF178" s="76">
        <f t="shared" si="73"/>
        <v>0.5075717925454547</v>
      </c>
      <c r="AG178" s="77">
        <f t="shared" si="74"/>
        <v>2.3423244620388894</v>
      </c>
    </row>
    <row r="179" spans="1:33" x14ac:dyDescent="0.2">
      <c r="A179" s="2"/>
      <c r="B179" s="68">
        <v>-120</v>
      </c>
      <c r="C179" s="69">
        <v>-60</v>
      </c>
      <c r="D179" s="70">
        <v>70</v>
      </c>
      <c r="E179" s="71">
        <v>3.2331799999999999</v>
      </c>
      <c r="F179" s="72">
        <v>0.83943999999999996</v>
      </c>
      <c r="G179" s="73">
        <v>3.1199300000000001</v>
      </c>
      <c r="H179" s="74">
        <v>-0.10109</v>
      </c>
      <c r="I179" s="74">
        <v>0.14763999999999999</v>
      </c>
      <c r="J179" s="73">
        <v>0.84818000000000005</v>
      </c>
      <c r="K179" s="74">
        <v>0.62111000000000005</v>
      </c>
      <c r="L179" s="74">
        <v>0.39802999999999999</v>
      </c>
      <c r="M179" s="75">
        <f t="shared" si="64"/>
        <v>0.63180741270000007</v>
      </c>
      <c r="N179" s="76">
        <v>35.254416363636366</v>
      </c>
      <c r="O179" s="77">
        <v>75.54325</v>
      </c>
      <c r="T179" s="68">
        <f t="shared" si="50"/>
        <v>-0.6</v>
      </c>
      <c r="U179" s="69">
        <f t="shared" si="51"/>
        <v>-0.3</v>
      </c>
      <c r="V179" s="70">
        <f t="shared" si="52"/>
        <v>0.35</v>
      </c>
      <c r="W179" s="71">
        <f t="shared" si="65"/>
        <v>0.65447795485507354</v>
      </c>
      <c r="X179" s="63">
        <f t="shared" si="66"/>
        <v>0.16992402972415482</v>
      </c>
      <c r="Y179" s="73">
        <f t="shared" si="67"/>
        <v>0.63155327129667682</v>
      </c>
      <c r="Z179" s="74">
        <f t="shared" si="68"/>
        <v>-2.0463189941883651E-2</v>
      </c>
      <c r="AA179" s="74">
        <f t="shared" si="69"/>
        <v>2.9886095192597707E-2</v>
      </c>
      <c r="AB179" s="73">
        <f t="shared" si="70"/>
        <v>0.17169322826102359</v>
      </c>
      <c r="AC179" s="74">
        <f t="shared" si="71"/>
        <v>0.12572847863095613</v>
      </c>
      <c r="AD179" s="74">
        <f t="shared" si="72"/>
        <v>8.0571406593807002E-2</v>
      </c>
      <c r="AE179" s="75">
        <f t="shared" si="61"/>
        <v>2.5888983265025658E-2</v>
      </c>
      <c r="AF179" s="76">
        <f t="shared" si="73"/>
        <v>1.9351109970426268</v>
      </c>
      <c r="AG179" s="77">
        <f t="shared" si="74"/>
        <v>4.1465605988055563</v>
      </c>
    </row>
    <row r="180" spans="1:33" x14ac:dyDescent="0.2">
      <c r="A180" s="2"/>
      <c r="B180" s="68">
        <v>-120</v>
      </c>
      <c r="C180" s="69">
        <v>60</v>
      </c>
      <c r="D180" s="70">
        <v>70</v>
      </c>
      <c r="E180" s="71">
        <v>3.2628699999999999</v>
      </c>
      <c r="F180" s="72">
        <v>0.86290999999999995</v>
      </c>
      <c r="G180" s="73">
        <v>3.1464400000000001</v>
      </c>
      <c r="H180" s="74">
        <v>-0.13874</v>
      </c>
      <c r="I180" s="74">
        <v>0.14549999999999999</v>
      </c>
      <c r="J180" s="73">
        <v>0.87280999999999997</v>
      </c>
      <c r="K180" s="74">
        <v>0.62880999999999998</v>
      </c>
      <c r="L180" s="74">
        <v>0.40550999999999998</v>
      </c>
      <c r="M180" s="75">
        <f t="shared" si="64"/>
        <v>0.66081883614999992</v>
      </c>
      <c r="N180" s="76">
        <v>29.583497272727271</v>
      </c>
      <c r="O180" s="77">
        <v>66.353390000000005</v>
      </c>
      <c r="T180" s="68">
        <f t="shared" si="50"/>
        <v>-0.6</v>
      </c>
      <c r="U180" s="69">
        <f t="shared" si="51"/>
        <v>0.3</v>
      </c>
      <c r="V180" s="70">
        <f t="shared" si="52"/>
        <v>0.35</v>
      </c>
      <c r="W180" s="71">
        <f t="shared" si="65"/>
        <v>0.66048796681841837</v>
      </c>
      <c r="X180" s="63">
        <f t="shared" si="66"/>
        <v>0.1746749553145793</v>
      </c>
      <c r="Y180" s="73">
        <f t="shared" si="67"/>
        <v>0.63691957029122959</v>
      </c>
      <c r="Z180" s="74">
        <f t="shared" si="68"/>
        <v>-2.8084508581827459E-2</v>
      </c>
      <c r="AA180" s="74">
        <f t="shared" si="69"/>
        <v>2.9452904704165308E-2</v>
      </c>
      <c r="AB180" s="73">
        <f t="shared" si="70"/>
        <v>0.17667896738723385</v>
      </c>
      <c r="AC180" s="74">
        <f t="shared" si="71"/>
        <v>0.12728715468746521</v>
      </c>
      <c r="AD180" s="74">
        <f t="shared" si="72"/>
        <v>8.208554904870155E-2</v>
      </c>
      <c r="AE180" s="75">
        <f t="shared" si="61"/>
        <v>2.7077757314038362E-2</v>
      </c>
      <c r="AF180" s="76">
        <f t="shared" si="73"/>
        <v>1.6238348782447476</v>
      </c>
      <c r="AG180" s="77">
        <f t="shared" si="74"/>
        <v>3.6421302045011119</v>
      </c>
    </row>
    <row r="181" spans="1:33" x14ac:dyDescent="0.2">
      <c r="A181" s="2"/>
      <c r="B181" s="68">
        <v>-90</v>
      </c>
      <c r="C181" s="69">
        <v>-60</v>
      </c>
      <c r="D181" s="70">
        <v>70</v>
      </c>
      <c r="E181" s="71">
        <v>3.1989200000000002</v>
      </c>
      <c r="F181" s="72">
        <v>0.87166999999999994</v>
      </c>
      <c r="G181" s="73">
        <v>3.0818300000000001</v>
      </c>
      <c r="H181" s="74">
        <v>-9.5149999999999998E-2</v>
      </c>
      <c r="I181" s="74">
        <v>0.12048</v>
      </c>
      <c r="J181" s="73">
        <v>0.87800999999999996</v>
      </c>
      <c r="K181" s="74">
        <v>0.58433000000000002</v>
      </c>
      <c r="L181" s="74">
        <v>0.38967000000000002</v>
      </c>
      <c r="M181" s="75">
        <f t="shared" si="64"/>
        <v>0.63209290894999992</v>
      </c>
      <c r="N181" s="76">
        <v>63.918307272727276</v>
      </c>
      <c r="O181" s="77">
        <v>89.581059999999994</v>
      </c>
      <c r="T181" s="68">
        <f t="shared" si="50"/>
        <v>-0.45</v>
      </c>
      <c r="U181" s="69">
        <f t="shared" si="51"/>
        <v>-0.3</v>
      </c>
      <c r="V181" s="70">
        <f t="shared" si="52"/>
        <v>0.35</v>
      </c>
      <c r="W181" s="71">
        <f t="shared" si="65"/>
        <v>0.64754285853091753</v>
      </c>
      <c r="X181" s="63">
        <f t="shared" si="66"/>
        <v>0.17644820236068573</v>
      </c>
      <c r="Y181" s="73">
        <f t="shared" si="67"/>
        <v>0.62384086119888504</v>
      </c>
      <c r="Z181" s="74">
        <f t="shared" si="68"/>
        <v>-1.9260782698290922E-2</v>
      </c>
      <c r="AA181" s="74">
        <f t="shared" si="69"/>
        <v>2.4388219647820186E-2</v>
      </c>
      <c r="AB181" s="73">
        <f t="shared" si="70"/>
        <v>0.1777315797890322</v>
      </c>
      <c r="AC181" s="74">
        <f t="shared" si="71"/>
        <v>0.11828327014285166</v>
      </c>
      <c r="AD181" s="74">
        <f t="shared" si="72"/>
        <v>7.887912973245427E-2</v>
      </c>
      <c r="AE181" s="75">
        <f t="shared" si="61"/>
        <v>2.5900681778670644E-2</v>
      </c>
      <c r="AF181" s="76">
        <f t="shared" si="73"/>
        <v>3.5084687841658595</v>
      </c>
      <c r="AG181" s="77">
        <f t="shared" si="74"/>
        <v>4.9170944299488895</v>
      </c>
    </row>
    <row r="182" spans="1:33" x14ac:dyDescent="0.2">
      <c r="A182" s="2"/>
      <c r="B182" s="68">
        <v>-90</v>
      </c>
      <c r="C182" s="69">
        <v>60</v>
      </c>
      <c r="D182" s="70">
        <v>70</v>
      </c>
      <c r="E182" s="71">
        <v>3.1550799999999999</v>
      </c>
      <c r="F182" s="72">
        <v>0.89449000000000001</v>
      </c>
      <c r="G182" s="73">
        <v>3.0367199999999999</v>
      </c>
      <c r="H182" s="74">
        <v>-0.13261999999999999</v>
      </c>
      <c r="I182" s="74">
        <v>0.12909000000000001</v>
      </c>
      <c r="J182" s="73">
        <v>0.90495999999999999</v>
      </c>
      <c r="K182" s="74">
        <v>0.60419</v>
      </c>
      <c r="L182" s="74">
        <v>0.39589000000000002</v>
      </c>
      <c r="M182" s="75">
        <f t="shared" si="64"/>
        <v>0.67036352490000006</v>
      </c>
      <c r="N182" s="76">
        <v>57.677384545454544</v>
      </c>
      <c r="O182" s="77">
        <v>86.182320000000004</v>
      </c>
      <c r="T182" s="68">
        <f t="shared" si="50"/>
        <v>-0.45</v>
      </c>
      <c r="U182" s="69">
        <f t="shared" si="51"/>
        <v>0.3</v>
      </c>
      <c r="V182" s="70">
        <f t="shared" si="52"/>
        <v>0.35</v>
      </c>
      <c r="W182" s="71">
        <f t="shared" si="65"/>
        <v>0.63866852628190984</v>
      </c>
      <c r="X182" s="63">
        <f t="shared" si="66"/>
        <v>0.18106755140088543</v>
      </c>
      <c r="Y182" s="73">
        <f t="shared" si="67"/>
        <v>0.61470944861328436</v>
      </c>
      <c r="Z182" s="74">
        <f t="shared" si="68"/>
        <v>-2.6845664755095554E-2</v>
      </c>
      <c r="AA182" s="74">
        <f t="shared" si="69"/>
        <v>2.6131102874643989E-2</v>
      </c>
      <c r="AB182" s="73">
        <f t="shared" si="70"/>
        <v>0.18318694598681401</v>
      </c>
      <c r="AC182" s="74">
        <f t="shared" si="71"/>
        <v>0.12230343981587381</v>
      </c>
      <c r="AD182" s="74">
        <f t="shared" si="72"/>
        <v>8.013821610537461E-2</v>
      </c>
      <c r="AE182" s="75">
        <f t="shared" si="61"/>
        <v>2.7468861125661357E-2</v>
      </c>
      <c r="AF182" s="76">
        <f t="shared" si="73"/>
        <v>3.1659052291017176</v>
      </c>
      <c r="AG182" s="77">
        <f t="shared" si="74"/>
        <v>4.7305379689866678</v>
      </c>
    </row>
    <row r="183" spans="1:33" x14ac:dyDescent="0.2">
      <c r="A183" s="2"/>
      <c r="B183" s="68">
        <v>-50</v>
      </c>
      <c r="C183" s="69">
        <v>-60</v>
      </c>
      <c r="D183" s="70">
        <v>70</v>
      </c>
      <c r="E183" s="71">
        <v>3.1445699999999999</v>
      </c>
      <c r="F183" s="72">
        <v>0.86946000000000001</v>
      </c>
      <c r="G183" s="73">
        <v>3.0198900000000002</v>
      </c>
      <c r="H183" s="74">
        <v>-8.6980000000000002E-2</v>
      </c>
      <c r="I183" s="74">
        <v>9.6670000000000006E-2</v>
      </c>
      <c r="J183" s="73">
        <v>0.87827999999999995</v>
      </c>
      <c r="K183" s="74">
        <v>0.62082999999999999</v>
      </c>
      <c r="L183" s="74">
        <v>0.38672000000000001</v>
      </c>
      <c r="M183" s="75">
        <f t="shared" si="64"/>
        <v>0.65317900284999997</v>
      </c>
      <c r="N183" s="76">
        <v>81.186974545454547</v>
      </c>
      <c r="O183" s="77">
        <v>83.94041</v>
      </c>
      <c r="T183" s="68">
        <f t="shared" si="50"/>
        <v>-0.25</v>
      </c>
      <c r="U183" s="69">
        <f t="shared" si="51"/>
        <v>-0.3</v>
      </c>
      <c r="V183" s="70">
        <f t="shared" si="52"/>
        <v>0.35</v>
      </c>
      <c r="W183" s="71">
        <f t="shared" si="65"/>
        <v>0.63654103467750589</v>
      </c>
      <c r="X183" s="63">
        <f t="shared" si="66"/>
        <v>0.17600084208992145</v>
      </c>
      <c r="Y183" s="73">
        <f t="shared" si="67"/>
        <v>0.61130262808977176</v>
      </c>
      <c r="Z183" s="74">
        <f t="shared" si="68"/>
        <v>-1.760696667469621E-2</v>
      </c>
      <c r="AA183" s="74">
        <f t="shared" si="69"/>
        <v>1.9568469400355056E-2</v>
      </c>
      <c r="AB183" s="73">
        <f t="shared" si="70"/>
        <v>0.17778623466374094</v>
      </c>
      <c r="AC183" s="74">
        <f t="shared" si="71"/>
        <v>0.12567179950162852</v>
      </c>
      <c r="AD183" s="74">
        <f t="shared" si="72"/>
        <v>7.8281974619895597E-2</v>
      </c>
      <c r="AE183" s="75">
        <f t="shared" si="61"/>
        <v>2.6764706988139132E-2</v>
      </c>
      <c r="AF183" s="76">
        <f t="shared" si="73"/>
        <v>4.4563440120250517</v>
      </c>
      <c r="AG183" s="77">
        <f t="shared" si="74"/>
        <v>4.6074797781877788</v>
      </c>
    </row>
    <row r="184" spans="1:33" x14ac:dyDescent="0.2">
      <c r="A184" s="2"/>
      <c r="B184" s="68">
        <v>-50</v>
      </c>
      <c r="C184" s="69">
        <v>0</v>
      </c>
      <c r="D184" s="70">
        <v>70</v>
      </c>
      <c r="E184" s="71">
        <v>3.14927</v>
      </c>
      <c r="F184" s="72">
        <v>0.86404000000000003</v>
      </c>
      <c r="G184" s="73">
        <v>3.0309400000000002</v>
      </c>
      <c r="H184" s="74">
        <v>-0.10194</v>
      </c>
      <c r="I184" s="74">
        <v>7.6899999999999996E-2</v>
      </c>
      <c r="J184" s="73">
        <v>0.88158000000000003</v>
      </c>
      <c r="K184" s="74">
        <v>0.64412000000000003</v>
      </c>
      <c r="L184" s="74">
        <v>0.29343000000000002</v>
      </c>
      <c r="M184" s="75">
        <f t="shared" si="64"/>
        <v>0.63908751785000006</v>
      </c>
      <c r="N184" s="76">
        <v>173.34420454545455</v>
      </c>
      <c r="O184" s="77">
        <v>101.05001</v>
      </c>
      <c r="T184" s="68">
        <f t="shared" si="50"/>
        <v>-0.25</v>
      </c>
      <c r="U184" s="69">
        <f t="shared" si="51"/>
        <v>0</v>
      </c>
      <c r="V184" s="70">
        <f t="shared" si="52"/>
        <v>0.35</v>
      </c>
      <c r="W184" s="71">
        <f t="shared" si="65"/>
        <v>0.63749243434836211</v>
      </c>
      <c r="X184" s="63">
        <f t="shared" si="66"/>
        <v>0.17490369608650858</v>
      </c>
      <c r="Y184" s="73">
        <f t="shared" si="67"/>
        <v>0.61353942944359319</v>
      </c>
      <c r="Z184" s="74">
        <f t="shared" si="68"/>
        <v>-2.0635251584485304E-2</v>
      </c>
      <c r="AA184" s="74">
        <f t="shared" si="69"/>
        <v>1.556651801890249E-2</v>
      </c>
      <c r="AB184" s="73">
        <f t="shared" si="70"/>
        <v>0.17845423868795915</v>
      </c>
      <c r="AC184" s="74">
        <f t="shared" si="71"/>
        <v>0.13038628850891382</v>
      </c>
      <c r="AD184" s="74">
        <f t="shared" si="72"/>
        <v>5.9397703280709473E-2</v>
      </c>
      <c r="AE184" s="75">
        <f t="shared" si="61"/>
        <v>2.6187293345926007E-2</v>
      </c>
      <c r="AF184" s="76">
        <f t="shared" si="73"/>
        <v>9.5148441270328306</v>
      </c>
      <c r="AG184" s="77">
        <f t="shared" si="74"/>
        <v>5.5466238211211119</v>
      </c>
    </row>
    <row r="185" spans="1:33" x14ac:dyDescent="0.2">
      <c r="A185" s="2"/>
      <c r="B185" s="68">
        <v>-50</v>
      </c>
      <c r="C185" s="69">
        <v>60</v>
      </c>
      <c r="D185" s="70">
        <v>70</v>
      </c>
      <c r="E185" s="71">
        <v>3.1928700000000001</v>
      </c>
      <c r="F185" s="72">
        <v>0.91276999999999997</v>
      </c>
      <c r="G185" s="73">
        <v>3.06854</v>
      </c>
      <c r="H185" s="74">
        <v>-0.12767999999999999</v>
      </c>
      <c r="I185" s="74">
        <v>0.10067</v>
      </c>
      <c r="J185" s="73">
        <v>0.92591000000000001</v>
      </c>
      <c r="K185" s="74">
        <v>0.63087000000000004</v>
      </c>
      <c r="L185" s="74">
        <v>0.39396999999999999</v>
      </c>
      <c r="M185" s="75">
        <f t="shared" si="64"/>
        <v>0.70525932295000004</v>
      </c>
      <c r="N185" s="76">
        <v>63.483899090909091</v>
      </c>
      <c r="O185" s="77">
        <v>74.177719999999994</v>
      </c>
      <c r="T185" s="68">
        <f t="shared" si="50"/>
        <v>-0.25</v>
      </c>
      <c r="U185" s="69">
        <f t="shared" si="51"/>
        <v>0.3</v>
      </c>
      <c r="V185" s="70">
        <f t="shared" si="52"/>
        <v>0.35</v>
      </c>
      <c r="W185" s="71">
        <f t="shared" si="65"/>
        <v>0.64631818448651757</v>
      </c>
      <c r="X185" s="63">
        <f t="shared" si="66"/>
        <v>0.18476788884413037</v>
      </c>
      <c r="Y185" s="73">
        <f t="shared" si="67"/>
        <v>0.62115062681044275</v>
      </c>
      <c r="Z185" s="74">
        <f t="shared" si="68"/>
        <v>-2.5845682973387123E-2</v>
      </c>
      <c r="AA185" s="74">
        <f t="shared" si="69"/>
        <v>2.0378171247892245E-2</v>
      </c>
      <c r="AB185" s="73">
        <f t="shared" si="70"/>
        <v>0.18742775941329007</v>
      </c>
      <c r="AC185" s="74">
        <f t="shared" si="71"/>
        <v>0.12770415113894687</v>
      </c>
      <c r="AD185" s="74">
        <f t="shared" si="72"/>
        <v>7.9749559218556754E-2</v>
      </c>
      <c r="AE185" s="75">
        <f t="shared" si="61"/>
        <v>2.8898753706179611E-2</v>
      </c>
      <c r="AF185" s="76">
        <f t="shared" si="73"/>
        <v>3.4846241673334348</v>
      </c>
      <c r="AG185" s="77">
        <f t="shared" si="74"/>
        <v>4.0716068088311115</v>
      </c>
    </row>
    <row r="186" spans="1:33" x14ac:dyDescent="0.2">
      <c r="A186" s="2"/>
      <c r="B186" s="68">
        <v>-30</v>
      </c>
      <c r="C186" s="69">
        <v>-60</v>
      </c>
      <c r="D186" s="70">
        <v>70</v>
      </c>
      <c r="E186" s="71">
        <v>3.1489199999999999</v>
      </c>
      <c r="F186" s="72">
        <v>0.91944999999999999</v>
      </c>
      <c r="G186" s="73">
        <v>3.01674</v>
      </c>
      <c r="H186" s="74">
        <v>-9.1380000000000003E-2</v>
      </c>
      <c r="I186" s="74">
        <v>0.10356</v>
      </c>
      <c r="J186" s="73">
        <v>0.90298</v>
      </c>
      <c r="K186" s="74">
        <v>0.62856000000000001</v>
      </c>
      <c r="L186" s="74">
        <v>0.39772999999999997</v>
      </c>
      <c r="M186" s="75">
        <f t="shared" si="64"/>
        <v>0.68432485344999994</v>
      </c>
      <c r="N186" s="76">
        <v>83.676291818181809</v>
      </c>
      <c r="O186" s="77">
        <v>77.054659999999998</v>
      </c>
      <c r="T186" s="68">
        <f t="shared" si="50"/>
        <v>-0.15</v>
      </c>
      <c r="U186" s="69">
        <f t="shared" si="51"/>
        <v>-0.3</v>
      </c>
      <c r="V186" s="70">
        <f t="shared" si="52"/>
        <v>0.35</v>
      </c>
      <c r="W186" s="71">
        <f t="shared" si="65"/>
        <v>0.63742158543670258</v>
      </c>
      <c r="X186" s="63">
        <f t="shared" si="66"/>
        <v>0.18612009092951748</v>
      </c>
      <c r="Y186" s="73">
        <f t="shared" si="67"/>
        <v>0.61066498788483614</v>
      </c>
      <c r="Z186" s="74">
        <f t="shared" si="68"/>
        <v>-1.8497638706987122E-2</v>
      </c>
      <c r="AA186" s="74">
        <f t="shared" si="69"/>
        <v>2.0963180832737866E-2</v>
      </c>
      <c r="AB186" s="73">
        <f t="shared" si="70"/>
        <v>0.18278614357228312</v>
      </c>
      <c r="AC186" s="74">
        <f t="shared" si="71"/>
        <v>0.12723654832199413</v>
      </c>
      <c r="AD186" s="74">
        <f t="shared" si="72"/>
        <v>8.0510678955241707E-2</v>
      </c>
      <c r="AE186" s="75">
        <f t="shared" si="61"/>
        <v>2.8040941468378221E-2</v>
      </c>
      <c r="AF186" s="76">
        <f t="shared" si="73"/>
        <v>4.5929823605342426</v>
      </c>
      <c r="AG186" s="77">
        <f t="shared" si="74"/>
        <v>4.2295217257711117</v>
      </c>
    </row>
    <row r="187" spans="1:33" x14ac:dyDescent="0.2">
      <c r="A187" s="2"/>
      <c r="B187" s="68">
        <v>-30</v>
      </c>
      <c r="C187" s="69">
        <v>0</v>
      </c>
      <c r="D187" s="70">
        <v>70</v>
      </c>
      <c r="E187" s="71">
        <v>3.1951100000000001</v>
      </c>
      <c r="F187" s="73">
        <v>0.89532999999999996</v>
      </c>
      <c r="G187" s="73">
        <v>3.05762</v>
      </c>
      <c r="H187" s="74">
        <v>-8.5440000000000002E-2</v>
      </c>
      <c r="I187" s="74">
        <v>5.0860000000000002E-2</v>
      </c>
      <c r="J187" s="73">
        <v>0.91878000000000004</v>
      </c>
      <c r="K187" s="74">
        <v>0.64434000000000002</v>
      </c>
      <c r="L187" s="74">
        <v>0.32400000000000001</v>
      </c>
      <c r="M187" s="75">
        <f t="shared" si="64"/>
        <v>0.68215336199999999</v>
      </c>
      <c r="N187" s="76">
        <v>152.9107218181818</v>
      </c>
      <c r="O187" s="77">
        <v>87.160700000000006</v>
      </c>
      <c r="T187" s="68">
        <f t="shared" si="50"/>
        <v>-0.15</v>
      </c>
      <c r="U187" s="69">
        <f t="shared" si="51"/>
        <v>0</v>
      </c>
      <c r="V187" s="70">
        <f t="shared" si="52"/>
        <v>0.35</v>
      </c>
      <c r="W187" s="71">
        <f t="shared" si="65"/>
        <v>0.64677161752113832</v>
      </c>
      <c r="X187" s="63">
        <f t="shared" si="66"/>
        <v>0.18123758878886823</v>
      </c>
      <c r="Y187" s="73">
        <f t="shared" si="67"/>
        <v>0.61894014076666626</v>
      </c>
      <c r="Z187" s="74">
        <f t="shared" si="68"/>
        <v>-1.7295231463394393E-2</v>
      </c>
      <c r="AA187" s="74">
        <f t="shared" si="69"/>
        <v>1.0295358991435379E-2</v>
      </c>
      <c r="AB187" s="73">
        <f t="shared" si="70"/>
        <v>0.18598446587005502</v>
      </c>
      <c r="AC187" s="74">
        <f t="shared" si="71"/>
        <v>0.13043082211052837</v>
      </c>
      <c r="AD187" s="74">
        <f t="shared" si="72"/>
        <v>6.5585849650512451E-2</v>
      </c>
      <c r="AE187" s="75">
        <f t="shared" si="61"/>
        <v>2.7951962287888786E-2</v>
      </c>
      <c r="AF187" s="76">
        <f t="shared" si="73"/>
        <v>8.3932525305197991</v>
      </c>
      <c r="AG187" s="77">
        <f t="shared" si="74"/>
        <v>4.7842411384777792</v>
      </c>
    </row>
    <row r="188" spans="1:33" x14ac:dyDescent="0.2">
      <c r="A188" s="2"/>
      <c r="B188" s="68">
        <v>-30</v>
      </c>
      <c r="C188" s="69">
        <v>60</v>
      </c>
      <c r="D188" s="70">
        <v>70</v>
      </c>
      <c r="E188" s="71">
        <v>3.0587</v>
      </c>
      <c r="F188" s="73">
        <v>0.89293999999999996</v>
      </c>
      <c r="G188" s="73">
        <v>2.93038</v>
      </c>
      <c r="H188" s="74">
        <v>-0.12584000000000001</v>
      </c>
      <c r="I188" s="74">
        <v>0.11237999999999999</v>
      </c>
      <c r="J188" s="73">
        <v>0.91564000000000001</v>
      </c>
      <c r="K188" s="74">
        <v>0.64102000000000003</v>
      </c>
      <c r="L188" s="74">
        <v>0.39439999999999997</v>
      </c>
      <c r="M188" s="75">
        <f t="shared" si="64"/>
        <v>0.70242730500000006</v>
      </c>
      <c r="N188" s="76">
        <v>71.900860909090909</v>
      </c>
      <c r="O188" s="77">
        <v>73.38776</v>
      </c>
      <c r="T188" s="68">
        <f t="shared" si="50"/>
        <v>-0.15</v>
      </c>
      <c r="U188" s="69">
        <f t="shared" si="51"/>
        <v>0.3</v>
      </c>
      <c r="V188" s="70">
        <f t="shared" si="52"/>
        <v>0.35</v>
      </c>
      <c r="W188" s="71">
        <f t="shared" si="65"/>
        <v>0.61915876026550132</v>
      </c>
      <c r="X188" s="63">
        <f t="shared" si="66"/>
        <v>0.18075379193496474</v>
      </c>
      <c r="Y188" s="73">
        <f t="shared" si="67"/>
        <v>0.59318352499650817</v>
      </c>
      <c r="Z188" s="74">
        <f t="shared" si="68"/>
        <v>-2.5473220123520022E-2</v>
      </c>
      <c r="AA188" s="74">
        <f t="shared" si="69"/>
        <v>2.2748573406557372E-2</v>
      </c>
      <c r="AB188" s="73">
        <f t="shared" si="70"/>
        <v>0.18534884991973832</v>
      </c>
      <c r="AC188" s="74">
        <f t="shared" si="71"/>
        <v>0.1297587695770725</v>
      </c>
      <c r="AD188" s="74">
        <f t="shared" si="72"/>
        <v>7.9836602167166995E-2</v>
      </c>
      <c r="AE188" s="75">
        <f t="shared" si="61"/>
        <v>2.8782708747161986E-2</v>
      </c>
      <c r="AF188" s="76">
        <f t="shared" si="73"/>
        <v>3.9466302663154553</v>
      </c>
      <c r="AG188" s="77">
        <f t="shared" si="74"/>
        <v>4.0282459922044449</v>
      </c>
    </row>
    <row r="189" spans="1:33" x14ac:dyDescent="0.2">
      <c r="A189" s="2"/>
      <c r="B189" s="68">
        <v>-10</v>
      </c>
      <c r="C189" s="69">
        <v>0</v>
      </c>
      <c r="D189" s="70">
        <v>70</v>
      </c>
      <c r="E189" s="71">
        <v>2.9818799999999999</v>
      </c>
      <c r="F189" s="73">
        <v>0.89809000000000005</v>
      </c>
      <c r="G189" s="73">
        <v>2.8493499999999998</v>
      </c>
      <c r="H189" s="74">
        <v>-0.1077</v>
      </c>
      <c r="I189" s="74">
        <v>8.9260000000000006E-2</v>
      </c>
      <c r="J189" s="73">
        <v>0.89783999999999997</v>
      </c>
      <c r="K189" s="74">
        <v>0.66330999999999996</v>
      </c>
      <c r="L189" s="74">
        <v>0.36534</v>
      </c>
      <c r="M189" s="75">
        <f t="shared" si="64"/>
        <v>0.68978506865</v>
      </c>
      <c r="N189" s="76">
        <v>144.29159363636364</v>
      </c>
      <c r="O189" s="77">
        <v>77.41507</v>
      </c>
      <c r="T189" s="68">
        <f t="shared" si="50"/>
        <v>-0.05</v>
      </c>
      <c r="U189" s="69">
        <f t="shared" si="51"/>
        <v>0</v>
      </c>
      <c r="V189" s="70">
        <f t="shared" si="52"/>
        <v>0.35</v>
      </c>
      <c r="W189" s="71">
        <f t="shared" si="65"/>
        <v>0.60360843628354954</v>
      </c>
      <c r="X189" s="63">
        <f t="shared" si="66"/>
        <v>0.18179628306366891</v>
      </c>
      <c r="Y189" s="73">
        <f t="shared" si="67"/>
        <v>0.57678098982002357</v>
      </c>
      <c r="Z189" s="74">
        <f t="shared" si="68"/>
        <v>-2.1801222244938859E-2</v>
      </c>
      <c r="AA189" s="74">
        <f t="shared" si="69"/>
        <v>1.806849672779241E-2</v>
      </c>
      <c r="AB189" s="73">
        <f t="shared" si="70"/>
        <v>0.1817456766981978</v>
      </c>
      <c r="AC189" s="74">
        <f t="shared" si="71"/>
        <v>0.13427083312247348</v>
      </c>
      <c r="AD189" s="74">
        <f t="shared" si="72"/>
        <v>7.3954118244809311E-2</v>
      </c>
      <c r="AE189" s="75">
        <f t="shared" si="61"/>
        <v>2.8264679615628105E-2</v>
      </c>
      <c r="AF189" s="76">
        <f t="shared" si="73"/>
        <v>7.9201495423007087</v>
      </c>
      <c r="AG189" s="77">
        <f t="shared" si="74"/>
        <v>4.249304590625556</v>
      </c>
    </row>
    <row r="190" spans="1:33" x14ac:dyDescent="0.2">
      <c r="A190" s="2"/>
      <c r="B190" s="68">
        <v>30</v>
      </c>
      <c r="C190" s="69">
        <v>-60</v>
      </c>
      <c r="D190" s="70">
        <v>70</v>
      </c>
      <c r="E190" s="71">
        <v>3.1549700000000001</v>
      </c>
      <c r="F190" s="73">
        <v>0.90264999999999995</v>
      </c>
      <c r="G190" s="73">
        <v>3.0270800000000002</v>
      </c>
      <c r="H190" s="74">
        <v>-9.4070000000000001E-2</v>
      </c>
      <c r="I190" s="74">
        <v>0.10223</v>
      </c>
      <c r="J190" s="73">
        <v>0.93276000000000003</v>
      </c>
      <c r="K190" s="74">
        <v>0.60296000000000005</v>
      </c>
      <c r="L190" s="74">
        <v>0.39613999999999999</v>
      </c>
      <c r="M190" s="75">
        <f t="shared" si="64"/>
        <v>0.69526443940000004</v>
      </c>
      <c r="N190" s="76">
        <v>89.830436363636366</v>
      </c>
      <c r="O190" s="77">
        <v>67.15325</v>
      </c>
      <c r="T190" s="68">
        <f t="shared" si="50"/>
        <v>0.15</v>
      </c>
      <c r="U190" s="69">
        <f t="shared" si="51"/>
        <v>-0.3</v>
      </c>
      <c r="V190" s="70">
        <f t="shared" si="52"/>
        <v>0.35</v>
      </c>
      <c r="W190" s="71">
        <f t="shared" si="65"/>
        <v>0.63864625948110265</v>
      </c>
      <c r="X190" s="63">
        <f t="shared" si="66"/>
        <v>0.18271934316986127</v>
      </c>
      <c r="Y190" s="73">
        <f t="shared" si="67"/>
        <v>0.61275806716071979</v>
      </c>
      <c r="Z190" s="74">
        <f t="shared" si="68"/>
        <v>-1.9042163199455883E-2</v>
      </c>
      <c r="AA190" s="74">
        <f t="shared" si="69"/>
        <v>2.0693954968431752E-2</v>
      </c>
      <c r="AB190" s="73">
        <f t="shared" si="70"/>
        <v>0.18881437382719751</v>
      </c>
      <c r="AC190" s="74">
        <f t="shared" si="71"/>
        <v>0.12205445649775613</v>
      </c>
      <c r="AD190" s="74">
        <f t="shared" si="72"/>
        <v>8.0188822470845675E-2</v>
      </c>
      <c r="AE190" s="75">
        <f t="shared" si="61"/>
        <v>2.8489202681990067E-2</v>
      </c>
      <c r="AF190" s="76">
        <f t="shared" si="73"/>
        <v>4.9307826708404052</v>
      </c>
      <c r="AG190" s="77">
        <f t="shared" si="74"/>
        <v>3.6860344310277786</v>
      </c>
    </row>
    <row r="191" spans="1:33" x14ac:dyDescent="0.2">
      <c r="A191" s="2"/>
      <c r="B191" s="68">
        <v>30</v>
      </c>
      <c r="C191" s="69">
        <v>60</v>
      </c>
      <c r="D191" s="70">
        <v>70</v>
      </c>
      <c r="E191" s="71">
        <v>3.1365400000000001</v>
      </c>
      <c r="F191" s="73">
        <v>0.92451000000000005</v>
      </c>
      <c r="G191" s="73">
        <v>3.00135</v>
      </c>
      <c r="H191" s="74">
        <v>-0.11926</v>
      </c>
      <c r="I191" s="74">
        <v>9.9820000000000006E-2</v>
      </c>
      <c r="J191" s="73">
        <v>0.97582999999999998</v>
      </c>
      <c r="K191" s="74">
        <v>0.60714000000000001</v>
      </c>
      <c r="L191" s="74">
        <v>0.40199000000000001</v>
      </c>
      <c r="M191" s="75">
        <f t="shared" si="64"/>
        <v>0.74122956429999998</v>
      </c>
      <c r="N191" s="76">
        <v>73.010922727272728</v>
      </c>
      <c r="O191" s="77">
        <v>59.163530000000002</v>
      </c>
      <c r="T191" s="68">
        <f t="shared" si="50"/>
        <v>0.15</v>
      </c>
      <c r="U191" s="69">
        <f t="shared" si="51"/>
        <v>0.3</v>
      </c>
      <c r="V191" s="70">
        <f t="shared" si="52"/>
        <v>0.35</v>
      </c>
      <c r="W191" s="71">
        <f t="shared" si="65"/>
        <v>0.63491555821857504</v>
      </c>
      <c r="X191" s="63">
        <f t="shared" si="66"/>
        <v>0.18714436376665206</v>
      </c>
      <c r="Y191" s="73">
        <f t="shared" si="67"/>
        <v>0.60754966002643684</v>
      </c>
      <c r="Z191" s="74">
        <f t="shared" si="68"/>
        <v>-2.4141260584321343E-2</v>
      </c>
      <c r="AA191" s="74">
        <f t="shared" si="69"/>
        <v>2.0206109605290595E-2</v>
      </c>
      <c r="AB191" s="73">
        <f t="shared" si="70"/>
        <v>0.1975328384705542</v>
      </c>
      <c r="AC191" s="74">
        <f t="shared" si="71"/>
        <v>0.12290059492843249</v>
      </c>
      <c r="AD191" s="74">
        <f t="shared" si="72"/>
        <v>8.1373011422868818E-2</v>
      </c>
      <c r="AE191" s="75">
        <f t="shared" si="61"/>
        <v>3.0372672748011521E-2</v>
      </c>
      <c r="AF191" s="76">
        <f t="shared" si="73"/>
        <v>4.0075614361752532</v>
      </c>
      <c r="AG191" s="77">
        <f t="shared" si="74"/>
        <v>3.2474795879744449</v>
      </c>
    </row>
    <row r="192" spans="1:33" x14ac:dyDescent="0.2">
      <c r="A192" s="2"/>
      <c r="B192" s="89">
        <v>70</v>
      </c>
      <c r="C192" s="90">
        <v>0</v>
      </c>
      <c r="D192" s="91">
        <v>70</v>
      </c>
      <c r="E192" s="92">
        <v>3.15713</v>
      </c>
      <c r="F192" s="93">
        <v>0.89917999999999998</v>
      </c>
      <c r="G192" s="93">
        <v>3.0331700000000001</v>
      </c>
      <c r="H192" s="94">
        <v>-0.11484999999999999</v>
      </c>
      <c r="I192" s="94">
        <v>6.5740000000000007E-2</v>
      </c>
      <c r="J192" s="93">
        <v>0.94238</v>
      </c>
      <c r="K192" s="94">
        <v>0.64320999999999995</v>
      </c>
      <c r="L192" s="94">
        <v>0.28847</v>
      </c>
      <c r="M192" s="95">
        <f t="shared" ref="M192:M206" si="75">(J192^2+K192^2+L192^2)/2</f>
        <v>0.69250705469999996</v>
      </c>
      <c r="N192" s="96">
        <v>106.37002727272727</v>
      </c>
      <c r="O192" s="97">
        <v>53.381070000000001</v>
      </c>
      <c r="T192" s="68">
        <f t="shared" si="50"/>
        <v>0.35</v>
      </c>
      <c r="U192" s="69">
        <f t="shared" si="51"/>
        <v>0</v>
      </c>
      <c r="V192" s="70">
        <f t="shared" si="52"/>
        <v>0.35</v>
      </c>
      <c r="W192" s="71">
        <f t="shared" si="65"/>
        <v>0.63908349847877266</v>
      </c>
      <c r="X192" s="63">
        <f t="shared" si="66"/>
        <v>0.18201692681712278</v>
      </c>
      <c r="Y192" s="73">
        <f t="shared" si="67"/>
        <v>0.61399083822359524</v>
      </c>
      <c r="Z192" s="74">
        <f t="shared" si="68"/>
        <v>-2.3248564297411584E-2</v>
      </c>
      <c r="AA192" s="74">
        <f t="shared" si="69"/>
        <v>1.330744986427373E-2</v>
      </c>
      <c r="AB192" s="73">
        <f t="shared" si="70"/>
        <v>0.19076170677052443</v>
      </c>
      <c r="AC192" s="74">
        <f t="shared" si="71"/>
        <v>0.13020208133859909</v>
      </c>
      <c r="AD192" s="74">
        <f t="shared" si="72"/>
        <v>5.8393672989763348E-2</v>
      </c>
      <c r="AE192" s="75">
        <f t="shared" si="61"/>
        <v>2.837621590007107E-2</v>
      </c>
      <c r="AF192" s="76">
        <f t="shared" si="73"/>
        <v>5.8386389781080821</v>
      </c>
      <c r="AG192" s="77">
        <f t="shared" si="74"/>
        <v>2.9300810010700005</v>
      </c>
    </row>
    <row r="193" spans="1:33" x14ac:dyDescent="0.2">
      <c r="A193" s="2"/>
      <c r="B193" s="89">
        <v>90</v>
      </c>
      <c r="C193" s="90">
        <v>-60</v>
      </c>
      <c r="D193" s="91">
        <v>70</v>
      </c>
      <c r="E193" s="92">
        <v>3.1551399999999998</v>
      </c>
      <c r="F193" s="93">
        <v>0.86685000000000001</v>
      </c>
      <c r="G193" s="93">
        <v>3.0195400000000001</v>
      </c>
      <c r="H193" s="94">
        <v>-0.10462</v>
      </c>
      <c r="I193" s="94">
        <v>7.5380000000000003E-2</v>
      </c>
      <c r="J193" s="93">
        <v>0.95872999999999997</v>
      </c>
      <c r="K193" s="94">
        <v>0.64029999999999998</v>
      </c>
      <c r="L193" s="94">
        <v>0.40416999999999997</v>
      </c>
      <c r="M193" s="95">
        <f t="shared" si="75"/>
        <v>0.74625034589999995</v>
      </c>
      <c r="N193" s="96">
        <v>87.762084545454542</v>
      </c>
      <c r="O193" s="97">
        <v>56.711930000000002</v>
      </c>
      <c r="T193" s="68">
        <f t="shared" si="50"/>
        <v>0.45</v>
      </c>
      <c r="U193" s="69">
        <f t="shared" si="51"/>
        <v>-0.3</v>
      </c>
      <c r="V193" s="70">
        <f t="shared" si="52"/>
        <v>0.35</v>
      </c>
      <c r="W193" s="71">
        <f t="shared" si="65"/>
        <v>0.63868067180962296</v>
      </c>
      <c r="X193" s="63">
        <f t="shared" si="66"/>
        <v>0.17547251163440344</v>
      </c>
      <c r="Y193" s="73">
        <f t="shared" si="67"/>
        <v>0.61123177917811222</v>
      </c>
      <c r="Z193" s="74">
        <f t="shared" si="68"/>
        <v>-2.1177751822335222E-2</v>
      </c>
      <c r="AA193" s="74">
        <f t="shared" si="69"/>
        <v>1.5258831316838358E-2</v>
      </c>
      <c r="AB193" s="73">
        <f t="shared" si="70"/>
        <v>0.19407136307233269</v>
      </c>
      <c r="AC193" s="74">
        <f t="shared" si="71"/>
        <v>0.12961302324451579</v>
      </c>
      <c r="AD193" s="74">
        <f t="shared" si="72"/>
        <v>8.1814298929776583E-2</v>
      </c>
      <c r="AE193" s="75">
        <f t="shared" si="61"/>
        <v>3.0578404634353708E-2</v>
      </c>
      <c r="AF193" s="76">
        <f t="shared" si="73"/>
        <v>4.8172510693572734</v>
      </c>
      <c r="AG193" s="77">
        <f t="shared" si="74"/>
        <v>3.1129115363744453</v>
      </c>
    </row>
    <row r="194" spans="1:33" x14ac:dyDescent="0.2">
      <c r="A194" s="2"/>
      <c r="B194" s="89">
        <v>90</v>
      </c>
      <c r="C194" s="90">
        <v>0</v>
      </c>
      <c r="D194" s="91">
        <v>70</v>
      </c>
      <c r="E194" s="92">
        <v>3.0464600000000002</v>
      </c>
      <c r="F194" s="93">
        <v>0.91903000000000001</v>
      </c>
      <c r="G194" s="93">
        <v>2.90178</v>
      </c>
      <c r="H194" s="94">
        <v>-0.11255999999999999</v>
      </c>
      <c r="I194" s="94">
        <v>4.9369999999999997E-2</v>
      </c>
      <c r="J194" s="93">
        <v>0.94765999999999995</v>
      </c>
      <c r="K194" s="94">
        <v>0.64505000000000001</v>
      </c>
      <c r="L194" s="94">
        <v>0.33313999999999999</v>
      </c>
      <c r="M194" s="95">
        <f t="shared" si="75"/>
        <v>0.71256561885000003</v>
      </c>
      <c r="N194" s="96">
        <v>99.402922727272738</v>
      </c>
      <c r="O194" s="97">
        <v>48.013449999999999</v>
      </c>
      <c r="T194" s="68">
        <f t="shared" si="50"/>
        <v>0.45</v>
      </c>
      <c r="U194" s="69">
        <f t="shared" si="51"/>
        <v>0</v>
      </c>
      <c r="V194" s="70">
        <f t="shared" si="52"/>
        <v>0.35</v>
      </c>
      <c r="W194" s="71">
        <f t="shared" si="65"/>
        <v>0.61668107261203753</v>
      </c>
      <c r="X194" s="63">
        <f t="shared" si="66"/>
        <v>0.18603507223552609</v>
      </c>
      <c r="Y194" s="73">
        <f t="shared" si="67"/>
        <v>0.58739415678661733</v>
      </c>
      <c r="Z194" s="74">
        <f t="shared" si="68"/>
        <v>-2.2785009989696545E-2</v>
      </c>
      <c r="AA194" s="74">
        <f t="shared" si="69"/>
        <v>9.9937450532277747E-3</v>
      </c>
      <c r="AB194" s="73">
        <f t="shared" si="70"/>
        <v>0.19183051320927352</v>
      </c>
      <c r="AC194" s="74">
        <f t="shared" si="71"/>
        <v>0.1305745441884662</v>
      </c>
      <c r="AD194" s="74">
        <f t="shared" si="72"/>
        <v>6.743601837213492E-2</v>
      </c>
      <c r="AE194" s="75">
        <f t="shared" si="61"/>
        <v>2.9198136981022953E-2</v>
      </c>
      <c r="AF194" s="76">
        <f t="shared" si="73"/>
        <v>5.4562153837308101</v>
      </c>
      <c r="AG194" s="77">
        <f t="shared" si="74"/>
        <v>2.6354529356722227</v>
      </c>
    </row>
    <row r="195" spans="1:33" x14ac:dyDescent="0.2">
      <c r="A195" s="2"/>
      <c r="B195" s="89">
        <v>90</v>
      </c>
      <c r="C195" s="90">
        <v>60</v>
      </c>
      <c r="D195" s="91">
        <v>70</v>
      </c>
      <c r="E195" s="92">
        <v>3.1257299999999999</v>
      </c>
      <c r="F195" s="93">
        <v>0.96079999999999999</v>
      </c>
      <c r="G195" s="93">
        <v>2.98</v>
      </c>
      <c r="H195" s="94">
        <v>-0.13835</v>
      </c>
      <c r="I195" s="94">
        <v>7.306E-2</v>
      </c>
      <c r="J195" s="93">
        <v>0.96425000000000005</v>
      </c>
      <c r="K195" s="94">
        <v>0.65646000000000004</v>
      </c>
      <c r="L195" s="94">
        <v>0.40944000000000003</v>
      </c>
      <c r="M195" s="95">
        <f t="shared" si="75"/>
        <v>0.76417945385000008</v>
      </c>
      <c r="N195" s="96">
        <v>72.570955454545455</v>
      </c>
      <c r="O195" s="97">
        <v>48.795819999999999</v>
      </c>
      <c r="T195" s="68">
        <f t="shared" si="50"/>
        <v>0.45</v>
      </c>
      <c r="U195" s="69">
        <f t="shared" si="51"/>
        <v>0.3</v>
      </c>
      <c r="V195" s="70">
        <f t="shared" si="52"/>
        <v>0.35</v>
      </c>
      <c r="W195" s="71">
        <f t="shared" si="65"/>
        <v>0.63272733897560574</v>
      </c>
      <c r="X195" s="63">
        <f t="shared" si="66"/>
        <v>0.1944903837784332</v>
      </c>
      <c r="Y195" s="73">
        <f t="shared" si="67"/>
        <v>0.60322787641520703</v>
      </c>
      <c r="Z195" s="74">
        <f t="shared" si="68"/>
        <v>-2.8005562651692583E-2</v>
      </c>
      <c r="AA195" s="74">
        <f t="shared" si="69"/>
        <v>1.4789204245266788E-2</v>
      </c>
      <c r="AB195" s="73">
        <f t="shared" si="70"/>
        <v>0.19518875162193403</v>
      </c>
      <c r="AC195" s="74">
        <f t="shared" si="71"/>
        <v>0.13288421870856607</v>
      </c>
      <c r="AD195" s="74">
        <f t="shared" si="72"/>
        <v>8.2881081113906838E-2</v>
      </c>
      <c r="AE195" s="75">
        <f t="shared" si="61"/>
        <v>3.1313068974062538E-2</v>
      </c>
      <c r="AF195" s="76">
        <f t="shared" si="73"/>
        <v>3.9834116814605056</v>
      </c>
      <c r="AG195" s="77">
        <f t="shared" si="74"/>
        <v>2.6783971380422225</v>
      </c>
    </row>
    <row r="196" spans="1:33" x14ac:dyDescent="0.2">
      <c r="A196" s="2"/>
      <c r="B196" s="89">
        <v>110</v>
      </c>
      <c r="C196" s="90">
        <v>0</v>
      </c>
      <c r="D196" s="91">
        <v>70</v>
      </c>
      <c r="E196" s="92">
        <v>3.03193</v>
      </c>
      <c r="F196" s="93">
        <v>0.92461000000000004</v>
      </c>
      <c r="G196" s="93">
        <v>2.8872599999999999</v>
      </c>
      <c r="H196" s="94">
        <v>-8.9959999999999998E-2</v>
      </c>
      <c r="I196" s="94">
        <v>6.7729999999999999E-2</v>
      </c>
      <c r="J196" s="93">
        <v>0.92308000000000001</v>
      </c>
      <c r="K196" s="94">
        <v>0.67068000000000005</v>
      </c>
      <c r="L196" s="94">
        <v>0.37051000000000001</v>
      </c>
      <c r="M196" s="95">
        <f t="shared" si="75"/>
        <v>0.71958300445000012</v>
      </c>
      <c r="N196" s="96">
        <v>94.73245</v>
      </c>
      <c r="O196" s="97">
        <v>44.748220000000003</v>
      </c>
      <c r="T196" s="68">
        <f t="shared" ref="T196:T206" si="76">B196/200</f>
        <v>0.55000000000000004</v>
      </c>
      <c r="U196" s="69">
        <f t="shared" ref="U196:U206" si="77">C196/200</f>
        <v>0</v>
      </c>
      <c r="V196" s="70">
        <f t="shared" ref="V196:V206" si="78">D196/200</f>
        <v>0.35</v>
      </c>
      <c r="W196" s="71">
        <f t="shared" si="65"/>
        <v>0.61373983065085869</v>
      </c>
      <c r="X196" s="63">
        <f t="shared" si="66"/>
        <v>0.18716460631284049</v>
      </c>
      <c r="Y196" s="73">
        <f t="shared" si="67"/>
        <v>0.5844549390800573</v>
      </c>
      <c r="Z196" s="74">
        <f t="shared" si="68"/>
        <v>-1.8210194551111419E-2</v>
      </c>
      <c r="AA196" s="74">
        <f t="shared" si="69"/>
        <v>1.3710276533423481E-2</v>
      </c>
      <c r="AB196" s="73">
        <f t="shared" si="70"/>
        <v>0.18685489535615749</v>
      </c>
      <c r="AC196" s="74">
        <f t="shared" si="71"/>
        <v>0.13576270877656077</v>
      </c>
      <c r="AD196" s="74">
        <f t="shared" si="72"/>
        <v>7.5000657882751134E-2</v>
      </c>
      <c r="AE196" s="75">
        <f t="shared" ref="AE196:AE206" si="79">M196/$R$8^2</f>
        <v>2.9485681847877653E-2</v>
      </c>
      <c r="AF196" s="76">
        <f t="shared" si="73"/>
        <v>5.1998536546722232</v>
      </c>
      <c r="AG196" s="77">
        <f t="shared" si="74"/>
        <v>2.4562248237755564</v>
      </c>
    </row>
    <row r="197" spans="1:33" x14ac:dyDescent="0.2">
      <c r="A197" s="2"/>
      <c r="B197" s="89">
        <v>150</v>
      </c>
      <c r="C197" s="90">
        <v>-60</v>
      </c>
      <c r="D197" s="91">
        <v>70</v>
      </c>
      <c r="E197" s="92">
        <v>3.1503800000000002</v>
      </c>
      <c r="F197" s="93">
        <v>0.94738</v>
      </c>
      <c r="G197" s="93">
        <v>3.0072399999999999</v>
      </c>
      <c r="H197" s="94">
        <v>-0.10464</v>
      </c>
      <c r="I197" s="94">
        <v>6.5960000000000005E-2</v>
      </c>
      <c r="J197" s="93">
        <v>0.96375999999999995</v>
      </c>
      <c r="K197" s="94">
        <v>0.61034999999999995</v>
      </c>
      <c r="L197" s="94">
        <v>0.40040999999999999</v>
      </c>
      <c r="M197" s="95">
        <f t="shared" si="75"/>
        <v>0.73084431409999984</v>
      </c>
      <c r="N197" s="96">
        <v>74.172529999999995</v>
      </c>
      <c r="O197" s="97">
        <v>41.507579999999997</v>
      </c>
      <c r="T197" s="68">
        <f t="shared" si="76"/>
        <v>0.75</v>
      </c>
      <c r="U197" s="69">
        <f t="shared" si="77"/>
        <v>-0.3</v>
      </c>
      <c r="V197" s="70">
        <f t="shared" si="78"/>
        <v>0.35</v>
      </c>
      <c r="W197" s="71">
        <f t="shared" ref="W197:W206" si="80">E197/$R$8</f>
        <v>0.63771712661105373</v>
      </c>
      <c r="X197" s="63">
        <f t="shared" ref="X197:X206" si="81">F197/$R$8</f>
        <v>0.19177383407994592</v>
      </c>
      <c r="Y197" s="73">
        <f t="shared" ref="Y197:Y206" si="82">G197/$R$8</f>
        <v>0.60874194599693532</v>
      </c>
      <c r="Z197" s="74">
        <f t="shared" ref="Z197:Z206" si="83">H197/$R$8</f>
        <v>-2.1181800331572909E-2</v>
      </c>
      <c r="AA197" s="74">
        <f t="shared" ref="AA197:AA206" si="84">I197/$R$8</f>
        <v>1.3351983465888275E-2</v>
      </c>
      <c r="AB197" s="73">
        <f t="shared" ref="AB197:AB206" si="85">J197/$R$8</f>
        <v>0.19508956314561071</v>
      </c>
      <c r="AC197" s="74">
        <f t="shared" ref="AC197:AC206" si="86">K197/$R$8</f>
        <v>0.12355038066108107</v>
      </c>
      <c r="AD197" s="74">
        <f t="shared" ref="AD197:AD206" si="87">L197/$R$8</f>
        <v>8.1053179193091629E-2</v>
      </c>
      <c r="AE197" s="75">
        <f t="shared" si="79"/>
        <v>2.9947126033575341E-2</v>
      </c>
      <c r="AF197" s="76">
        <f t="shared" ref="AF197:AF206" si="88">N197/$R$11</f>
        <v>4.0713219303077786</v>
      </c>
      <c r="AG197" s="77">
        <f t="shared" ref="AG197:AG206" si="89">O197/$R$11</f>
        <v>2.2783464542466669</v>
      </c>
    </row>
    <row r="198" spans="1:33" x14ac:dyDescent="0.2">
      <c r="A198" s="2"/>
      <c r="B198" s="89">
        <v>150</v>
      </c>
      <c r="C198" s="90">
        <v>60</v>
      </c>
      <c r="D198" s="91">
        <v>70</v>
      </c>
      <c r="E198" s="92">
        <v>3.2520199999999999</v>
      </c>
      <c r="F198" s="93">
        <v>0.92047000000000001</v>
      </c>
      <c r="G198" s="93">
        <v>3.1002999999999998</v>
      </c>
      <c r="H198" s="94">
        <v>-0.13061</v>
      </c>
      <c r="I198" s="94">
        <v>6.1960000000000001E-2</v>
      </c>
      <c r="J198" s="93">
        <v>0.97284999999999999</v>
      </c>
      <c r="K198" s="94">
        <v>0.61631999999999998</v>
      </c>
      <c r="L198" s="94">
        <v>0.40217000000000003</v>
      </c>
      <c r="M198" s="95">
        <f t="shared" si="75"/>
        <v>0.74401408690000004</v>
      </c>
      <c r="N198" s="96">
        <v>69.534315454545464</v>
      </c>
      <c r="O198" s="97">
        <v>42.094929999999998</v>
      </c>
      <c r="T198" s="68">
        <f t="shared" si="76"/>
        <v>0.75</v>
      </c>
      <c r="U198" s="69">
        <f t="shared" si="77"/>
        <v>0.3</v>
      </c>
      <c r="V198" s="70">
        <f t="shared" si="78"/>
        <v>0.35</v>
      </c>
      <c r="W198" s="71">
        <f t="shared" si="80"/>
        <v>0.6582916505569737</v>
      </c>
      <c r="X198" s="63">
        <f t="shared" si="81"/>
        <v>0.18632656490063948</v>
      </c>
      <c r="Y198" s="73">
        <f t="shared" si="82"/>
        <v>0.62757965947988803</v>
      </c>
      <c r="Z198" s="74">
        <f t="shared" si="83"/>
        <v>-2.6438789576708119E-2</v>
      </c>
      <c r="AA198" s="74">
        <f t="shared" si="84"/>
        <v>1.2542281618351084E-2</v>
      </c>
      <c r="AB198" s="73">
        <f t="shared" si="85"/>
        <v>0.19692961059413899</v>
      </c>
      <c r="AC198" s="74">
        <f t="shared" si="86"/>
        <v>0.12475886066853034</v>
      </c>
      <c r="AD198" s="74">
        <f t="shared" si="87"/>
        <v>8.1409448006007995E-2</v>
      </c>
      <c r="AE198" s="75">
        <f t="shared" si="79"/>
        <v>3.0486771534355955E-2</v>
      </c>
      <c r="AF198" s="76">
        <f t="shared" si="88"/>
        <v>3.8167308492649505</v>
      </c>
      <c r="AG198" s="77">
        <f t="shared" si="89"/>
        <v>2.3105860304855557</v>
      </c>
    </row>
    <row r="199" spans="1:33" x14ac:dyDescent="0.2">
      <c r="A199" s="2"/>
      <c r="B199" s="89">
        <v>190</v>
      </c>
      <c r="C199" s="90">
        <v>0</v>
      </c>
      <c r="D199" s="91">
        <v>70</v>
      </c>
      <c r="E199" s="92">
        <v>3.0529700000000002</v>
      </c>
      <c r="F199" s="93">
        <v>0.95252999999999999</v>
      </c>
      <c r="G199" s="93">
        <v>2.91343</v>
      </c>
      <c r="H199" s="94">
        <v>-0.11235000000000001</v>
      </c>
      <c r="I199" s="94">
        <v>7.8460000000000002E-2</v>
      </c>
      <c r="J199" s="93">
        <v>0.95026999999999995</v>
      </c>
      <c r="K199" s="94">
        <v>0.65183999999999997</v>
      </c>
      <c r="L199" s="94">
        <v>0.29338999999999998</v>
      </c>
      <c r="M199" s="95">
        <f t="shared" si="75"/>
        <v>0.70699307529999988</v>
      </c>
      <c r="N199" s="96">
        <v>82.71344090909092</v>
      </c>
      <c r="O199" s="97">
        <v>37.432009999999998</v>
      </c>
      <c r="T199" s="68">
        <f t="shared" si="76"/>
        <v>0.95</v>
      </c>
      <c r="U199" s="69">
        <f t="shared" si="77"/>
        <v>0</v>
      </c>
      <c r="V199" s="70">
        <f t="shared" si="78"/>
        <v>0.35</v>
      </c>
      <c r="W199" s="71">
        <f t="shared" si="80"/>
        <v>0.61799886236890433</v>
      </c>
      <c r="X199" s="63">
        <f t="shared" si="81"/>
        <v>0.19281632520865005</v>
      </c>
      <c r="Y199" s="73">
        <f t="shared" si="82"/>
        <v>0.58975241341756934</v>
      </c>
      <c r="Z199" s="74">
        <f t="shared" si="83"/>
        <v>-2.2742500642700843E-2</v>
      </c>
      <c r="AA199" s="74">
        <f t="shared" si="84"/>
        <v>1.5882301739441995E-2</v>
      </c>
      <c r="AB199" s="73">
        <f t="shared" si="85"/>
        <v>0.19235884366479153</v>
      </c>
      <c r="AC199" s="74">
        <f t="shared" si="86"/>
        <v>0.13194901307466059</v>
      </c>
      <c r="AD199" s="74">
        <f t="shared" si="87"/>
        <v>5.9389606262234093E-2</v>
      </c>
      <c r="AE199" s="75">
        <f t="shared" si="79"/>
        <v>2.8969796059707929E-2</v>
      </c>
      <c r="AF199" s="76">
        <f t="shared" si="88"/>
        <v>4.5401315811176781</v>
      </c>
      <c r="AG199" s="77">
        <f t="shared" si="89"/>
        <v>2.054638869787778</v>
      </c>
    </row>
    <row r="200" spans="1:33" x14ac:dyDescent="0.2">
      <c r="A200" s="2"/>
      <c r="B200" s="89">
        <v>210</v>
      </c>
      <c r="C200" s="90">
        <v>-60</v>
      </c>
      <c r="D200" s="91">
        <v>70</v>
      </c>
      <c r="E200" s="92">
        <v>3.1216900000000001</v>
      </c>
      <c r="F200" s="93">
        <v>0.88788999999999996</v>
      </c>
      <c r="G200" s="93">
        <v>2.9524900000000001</v>
      </c>
      <c r="H200" s="94">
        <v>-9.1560000000000002E-2</v>
      </c>
      <c r="I200" s="94">
        <v>6.0330000000000002E-2</v>
      </c>
      <c r="J200" s="93">
        <v>0.98477999999999999</v>
      </c>
      <c r="K200" s="94">
        <v>0.63729000000000002</v>
      </c>
      <c r="L200" s="94">
        <v>0.41110000000000002</v>
      </c>
      <c r="M200" s="95">
        <f t="shared" si="75"/>
        <v>0.77246670125000005</v>
      </c>
      <c r="N200" s="96">
        <v>73.154962727272732</v>
      </c>
      <c r="O200" s="97">
        <v>36.946489999999997</v>
      </c>
      <c r="T200" s="68">
        <f t="shared" si="76"/>
        <v>1.05</v>
      </c>
      <c r="U200" s="69">
        <f t="shared" si="77"/>
        <v>-0.3</v>
      </c>
      <c r="V200" s="70">
        <f t="shared" si="78"/>
        <v>0.35</v>
      </c>
      <c r="W200" s="71">
        <f t="shared" si="80"/>
        <v>0.63190954010959322</v>
      </c>
      <c r="X200" s="63">
        <f t="shared" si="81"/>
        <v>0.17973154335244904</v>
      </c>
      <c r="Y200" s="73">
        <f t="shared" si="82"/>
        <v>0.59765915195877006</v>
      </c>
      <c r="Z200" s="74">
        <f t="shared" si="83"/>
        <v>-1.8534075290126295E-2</v>
      </c>
      <c r="AA200" s="74">
        <f t="shared" si="84"/>
        <v>1.2212328115479679E-2</v>
      </c>
      <c r="AB200" s="73">
        <f t="shared" si="85"/>
        <v>0.19934454635441864</v>
      </c>
      <c r="AC200" s="74">
        <f t="shared" si="86"/>
        <v>0.12900372260424406</v>
      </c>
      <c r="AD200" s="74">
        <f t="shared" si="87"/>
        <v>8.3217107380634772E-2</v>
      </c>
      <c r="AE200" s="75">
        <f t="shared" si="79"/>
        <v>3.1652647783900915E-2</v>
      </c>
      <c r="AF200" s="76">
        <f t="shared" si="88"/>
        <v>4.0154677757708095</v>
      </c>
      <c r="AG200" s="77">
        <f t="shared" si="89"/>
        <v>2.0279887309344446</v>
      </c>
    </row>
    <row r="201" spans="1:33" x14ac:dyDescent="0.2">
      <c r="A201" s="2"/>
      <c r="B201" s="89">
        <v>210</v>
      </c>
      <c r="C201" s="90">
        <v>0</v>
      </c>
      <c r="D201" s="91">
        <v>70</v>
      </c>
      <c r="E201" s="92">
        <v>3.0721400000000001</v>
      </c>
      <c r="F201" s="93">
        <v>0.94682999999999995</v>
      </c>
      <c r="G201" s="93">
        <v>2.9081000000000001</v>
      </c>
      <c r="H201" s="94">
        <v>-0.11111</v>
      </c>
      <c r="I201" s="94">
        <v>5.8430000000000003E-2</v>
      </c>
      <c r="J201" s="93">
        <v>0.98682000000000003</v>
      </c>
      <c r="K201" s="94">
        <v>0.62304000000000004</v>
      </c>
      <c r="L201" s="94">
        <v>0.35629</v>
      </c>
      <c r="M201" s="95">
        <f t="shared" si="75"/>
        <v>0.74446755904999995</v>
      </c>
      <c r="N201" s="96">
        <v>78.729997272727275</v>
      </c>
      <c r="O201" s="97">
        <v>33.767150000000001</v>
      </c>
      <c r="T201" s="68">
        <f t="shared" si="76"/>
        <v>1.05</v>
      </c>
      <c r="U201" s="69">
        <f t="shared" si="77"/>
        <v>0</v>
      </c>
      <c r="V201" s="70">
        <f t="shared" si="78"/>
        <v>0.35</v>
      </c>
      <c r="W201" s="71">
        <f t="shared" si="80"/>
        <v>0.62187935847322628</v>
      </c>
      <c r="X201" s="63">
        <f t="shared" si="81"/>
        <v>0.19166250007590954</v>
      </c>
      <c r="Y201" s="73">
        <f t="shared" si="82"/>
        <v>0.58867348570572609</v>
      </c>
      <c r="Z201" s="74">
        <f t="shared" si="83"/>
        <v>-2.2491493069964313E-2</v>
      </c>
      <c r="AA201" s="74">
        <f t="shared" si="84"/>
        <v>1.1827719737899513E-2</v>
      </c>
      <c r="AB201" s="73">
        <f t="shared" si="85"/>
        <v>0.19975749429666262</v>
      </c>
      <c r="AC201" s="74">
        <f t="shared" si="86"/>
        <v>0.12611915977239282</v>
      </c>
      <c r="AD201" s="74">
        <f t="shared" si="87"/>
        <v>7.2122167814756416E-2</v>
      </c>
      <c r="AE201" s="75">
        <f t="shared" si="79"/>
        <v>3.0505353039837715E-2</v>
      </c>
      <c r="AF201" s="76">
        <f t="shared" si="88"/>
        <v>4.321480802522526</v>
      </c>
      <c r="AG201" s="77">
        <f t="shared" si="89"/>
        <v>1.8534751115944448</v>
      </c>
    </row>
    <row r="202" spans="1:33" x14ac:dyDescent="0.2">
      <c r="A202" s="2"/>
      <c r="B202" s="89">
        <v>210</v>
      </c>
      <c r="C202" s="90">
        <v>60</v>
      </c>
      <c r="D202" s="91">
        <v>70</v>
      </c>
      <c r="E202" s="92">
        <v>3.1896900000000001</v>
      </c>
      <c r="F202" s="93">
        <v>0.95852999999999999</v>
      </c>
      <c r="G202" s="93">
        <v>3.02162</v>
      </c>
      <c r="H202" s="94">
        <v>-0.14111000000000001</v>
      </c>
      <c r="I202" s="94">
        <v>6.2770000000000006E-2</v>
      </c>
      <c r="J202" s="93">
        <v>0.96860999999999997</v>
      </c>
      <c r="K202" s="94">
        <v>0.65695999999999999</v>
      </c>
      <c r="L202" s="94">
        <v>0.42270000000000002</v>
      </c>
      <c r="M202" s="95">
        <f t="shared" si="75"/>
        <v>0.77423853184999991</v>
      </c>
      <c r="N202" s="96">
        <v>62.938634545454548</v>
      </c>
      <c r="O202" s="97">
        <v>35.307499999999997</v>
      </c>
      <c r="T202" s="68">
        <f t="shared" si="76"/>
        <v>1.05</v>
      </c>
      <c r="U202" s="69">
        <f t="shared" si="77"/>
        <v>0.3</v>
      </c>
      <c r="V202" s="70">
        <f t="shared" si="78"/>
        <v>0.35</v>
      </c>
      <c r="W202" s="71">
        <f t="shared" si="80"/>
        <v>0.6456744715177255</v>
      </c>
      <c r="X202" s="63">
        <f t="shared" si="81"/>
        <v>0.19403087797995586</v>
      </c>
      <c r="Y202" s="73">
        <f t="shared" si="82"/>
        <v>0.61165282413883149</v>
      </c>
      <c r="Z202" s="74">
        <f t="shared" si="83"/>
        <v>-2.8564256926493246E-2</v>
      </c>
      <c r="AA202" s="74">
        <f t="shared" si="84"/>
        <v>1.2706246242477365E-2</v>
      </c>
      <c r="AB202" s="73">
        <f t="shared" si="85"/>
        <v>0.19607132663574955</v>
      </c>
      <c r="AC202" s="74">
        <f t="shared" si="86"/>
        <v>0.13298543143950819</v>
      </c>
      <c r="AD202" s="74">
        <f t="shared" si="87"/>
        <v>8.5565242738492628E-2</v>
      </c>
      <c r="AE202" s="75">
        <f t="shared" si="79"/>
        <v>3.1725250434376046E-2</v>
      </c>
      <c r="AF202" s="76">
        <f t="shared" si="88"/>
        <v>3.4546946570183845</v>
      </c>
      <c r="AG202" s="77">
        <f t="shared" si="89"/>
        <v>1.9380247519444447</v>
      </c>
    </row>
    <row r="203" spans="1:33" x14ac:dyDescent="0.2">
      <c r="A203" s="2"/>
      <c r="B203" s="89">
        <v>230</v>
      </c>
      <c r="C203" s="90">
        <v>0</v>
      </c>
      <c r="D203" s="91">
        <v>70</v>
      </c>
      <c r="E203" s="92">
        <v>3.0286300000000002</v>
      </c>
      <c r="F203" s="93">
        <v>0.91974</v>
      </c>
      <c r="G203" s="93">
        <v>2.8563100000000001</v>
      </c>
      <c r="H203" s="94">
        <v>-0.10655000000000001</v>
      </c>
      <c r="I203" s="94">
        <v>8.1030000000000005E-2</v>
      </c>
      <c r="J203" s="93">
        <v>0.99146000000000001</v>
      </c>
      <c r="K203" s="94">
        <v>0.65212000000000003</v>
      </c>
      <c r="L203" s="94">
        <v>0.39056000000000002</v>
      </c>
      <c r="M203" s="95">
        <f t="shared" si="75"/>
        <v>0.78039526979999996</v>
      </c>
      <c r="N203" s="96">
        <v>74.12703545454545</v>
      </c>
      <c r="O203" s="97">
        <v>31.943429999999999</v>
      </c>
      <c r="T203" s="68">
        <f t="shared" si="76"/>
        <v>1.1499999999999999</v>
      </c>
      <c r="U203" s="69">
        <f t="shared" si="77"/>
        <v>0</v>
      </c>
      <c r="V203" s="70">
        <f t="shared" si="78"/>
        <v>0.35</v>
      </c>
      <c r="W203" s="71">
        <f t="shared" si="80"/>
        <v>0.6130718266266405</v>
      </c>
      <c r="X203" s="63">
        <f t="shared" si="81"/>
        <v>0.18617879431346393</v>
      </c>
      <c r="Y203" s="73">
        <f t="shared" si="82"/>
        <v>0.57818987103473829</v>
      </c>
      <c r="Z203" s="74">
        <f t="shared" si="83"/>
        <v>-2.1568432963771918E-2</v>
      </c>
      <c r="AA203" s="74">
        <f t="shared" si="84"/>
        <v>1.6402535176484642E-2</v>
      </c>
      <c r="AB203" s="73">
        <f t="shared" si="85"/>
        <v>0.20069674843980576</v>
      </c>
      <c r="AC203" s="74">
        <f t="shared" si="86"/>
        <v>0.1320056922039882</v>
      </c>
      <c r="AD203" s="74">
        <f t="shared" si="87"/>
        <v>7.9059288393531296E-2</v>
      </c>
      <c r="AE203" s="75">
        <f t="shared" si="79"/>
        <v>3.1977529344928153E-2</v>
      </c>
      <c r="AF203" s="76">
        <f t="shared" si="88"/>
        <v>4.0688247397627277</v>
      </c>
      <c r="AG203" s="77">
        <f t="shared" si="89"/>
        <v>1.7533713234300004</v>
      </c>
    </row>
    <row r="204" spans="1:33" x14ac:dyDescent="0.2">
      <c r="A204" s="2"/>
      <c r="B204" s="68">
        <v>330</v>
      </c>
      <c r="C204" s="69">
        <v>-60</v>
      </c>
      <c r="D204" s="70">
        <v>70</v>
      </c>
      <c r="E204" s="98">
        <v>3.5034000000000001</v>
      </c>
      <c r="F204" s="109">
        <v>0.97309999999999997</v>
      </c>
      <c r="G204" s="75">
        <v>3.38388</v>
      </c>
      <c r="H204" s="74">
        <v>-7.6319999999999999E-2</v>
      </c>
      <c r="I204" s="74">
        <v>5.1290000000000002E-2</v>
      </c>
      <c r="J204" s="75">
        <v>0.97287000000000001</v>
      </c>
      <c r="K204" s="74">
        <v>0.64480999999999999</v>
      </c>
      <c r="L204" s="74">
        <v>0.42265000000000003</v>
      </c>
      <c r="M204" s="75">
        <f t="shared" si="75"/>
        <v>0.77044449775000001</v>
      </c>
      <c r="N204" s="76">
        <v>65.099615</v>
      </c>
      <c r="O204" s="77">
        <v>29.079499999999999</v>
      </c>
      <c r="T204" s="68">
        <f t="shared" si="76"/>
        <v>1.65</v>
      </c>
      <c r="U204" s="69">
        <f t="shared" si="77"/>
        <v>-0.3</v>
      </c>
      <c r="V204" s="70">
        <f t="shared" si="78"/>
        <v>0.35</v>
      </c>
      <c r="W204" s="98">
        <f t="shared" si="80"/>
        <v>0.70917736316544844</v>
      </c>
      <c r="X204" s="63">
        <f t="shared" si="81"/>
        <v>0.19698021695961004</v>
      </c>
      <c r="Y204" s="75">
        <f t="shared" si="82"/>
        <v>0.68498347196103715</v>
      </c>
      <c r="Z204" s="74">
        <f t="shared" si="83"/>
        <v>-1.5449111251009598E-2</v>
      </c>
      <c r="AA204" s="74">
        <f t="shared" si="84"/>
        <v>1.0382401940045628E-2</v>
      </c>
      <c r="AB204" s="75">
        <f t="shared" si="85"/>
        <v>0.19693365910337668</v>
      </c>
      <c r="AC204" s="74">
        <f t="shared" si="86"/>
        <v>0.13052596207761397</v>
      </c>
      <c r="AD204" s="74">
        <f t="shared" si="87"/>
        <v>8.5555121465398412E-2</v>
      </c>
      <c r="AE204" s="75">
        <f t="shared" si="79"/>
        <v>3.1569785836545385E-2</v>
      </c>
      <c r="AF204" s="76">
        <f t="shared" si="88"/>
        <v>3.5733106340594452</v>
      </c>
      <c r="AG204" s="77">
        <f t="shared" si="89"/>
        <v>1.5961705239444448</v>
      </c>
    </row>
    <row r="205" spans="1:33" x14ac:dyDescent="0.2">
      <c r="A205" s="2"/>
      <c r="B205" s="68">
        <v>330</v>
      </c>
      <c r="C205" s="69">
        <v>0</v>
      </c>
      <c r="D205" s="70">
        <v>70</v>
      </c>
      <c r="E205" s="71">
        <v>3.1271900000000001</v>
      </c>
      <c r="F205" s="72">
        <v>0.95643999999999996</v>
      </c>
      <c r="G205" s="73">
        <v>2.9426999999999999</v>
      </c>
      <c r="H205" s="74">
        <v>-0.10765</v>
      </c>
      <c r="I205" s="74">
        <v>4.1689999999999998E-2</v>
      </c>
      <c r="J205" s="73">
        <v>0.97162999999999999</v>
      </c>
      <c r="K205" s="74">
        <v>0.64844000000000002</v>
      </c>
      <c r="L205" s="74">
        <v>0.35869000000000001</v>
      </c>
      <c r="M205" s="75">
        <f t="shared" si="75"/>
        <v>0.74659890330000001</v>
      </c>
      <c r="N205" s="76">
        <v>65.041790909090906</v>
      </c>
      <c r="O205" s="77">
        <v>28.469460000000002</v>
      </c>
      <c r="T205" s="68">
        <f t="shared" si="76"/>
        <v>1.65</v>
      </c>
      <c r="U205" s="69">
        <f t="shared" si="77"/>
        <v>0</v>
      </c>
      <c r="V205" s="70">
        <f t="shared" si="78"/>
        <v>0.35</v>
      </c>
      <c r="W205" s="71">
        <f t="shared" si="80"/>
        <v>0.63302288014995689</v>
      </c>
      <c r="X205" s="63">
        <f t="shared" si="81"/>
        <v>0.19360780876461767</v>
      </c>
      <c r="Y205" s="73">
        <f t="shared" si="82"/>
        <v>0.59567740668692271</v>
      </c>
      <c r="Z205" s="74">
        <f t="shared" si="83"/>
        <v>-2.1791100971844644E-2</v>
      </c>
      <c r="AA205" s="74">
        <f t="shared" si="84"/>
        <v>8.43911750595637E-3</v>
      </c>
      <c r="AB205" s="73">
        <f t="shared" si="85"/>
        <v>0.19668265153064013</v>
      </c>
      <c r="AC205" s="74">
        <f t="shared" si="86"/>
        <v>0.13126076650425397</v>
      </c>
      <c r="AD205" s="74">
        <f t="shared" si="87"/>
        <v>7.260798892327873E-2</v>
      </c>
      <c r="AE205" s="75">
        <f t="shared" si="79"/>
        <v>3.0592687145945239E-2</v>
      </c>
      <c r="AF205" s="76">
        <f t="shared" si="88"/>
        <v>3.5701366761343438</v>
      </c>
      <c r="AG205" s="77">
        <f t="shared" si="89"/>
        <v>1.562685496126667</v>
      </c>
    </row>
    <row r="206" spans="1:33" x14ac:dyDescent="0.2">
      <c r="A206" s="2"/>
      <c r="B206" s="100">
        <v>330</v>
      </c>
      <c r="C206" s="101">
        <v>60</v>
      </c>
      <c r="D206" s="102">
        <v>70</v>
      </c>
      <c r="E206" s="103">
        <v>3.4831799999999999</v>
      </c>
      <c r="F206" s="104">
        <v>0.95286999999999999</v>
      </c>
      <c r="G206" s="105">
        <v>3.36869</v>
      </c>
      <c r="H206" s="106">
        <v>-0.11985999999999999</v>
      </c>
      <c r="I206" s="106">
        <v>5.3900000000000003E-2</v>
      </c>
      <c r="J206" s="105">
        <v>0.93459000000000003</v>
      </c>
      <c r="K206" s="106">
        <v>0.66549999999999998</v>
      </c>
      <c r="L206" s="106">
        <v>0.42110999999999998</v>
      </c>
      <c r="M206" s="105">
        <f t="shared" si="75"/>
        <v>0.74684117510000003</v>
      </c>
      <c r="N206" s="107">
        <v>55.784955454545454</v>
      </c>
      <c r="O206" s="108">
        <v>27.53389</v>
      </c>
      <c r="T206" s="100">
        <f t="shared" si="76"/>
        <v>1.65</v>
      </c>
      <c r="U206" s="101">
        <f t="shared" si="77"/>
        <v>0.3</v>
      </c>
      <c r="V206" s="102">
        <f t="shared" si="78"/>
        <v>0.35</v>
      </c>
      <c r="W206" s="103">
        <f t="shared" si="80"/>
        <v>0.70508432032614798</v>
      </c>
      <c r="X206" s="63">
        <f t="shared" si="81"/>
        <v>0.19288514986569072</v>
      </c>
      <c r="Y206" s="105">
        <f t="shared" si="82"/>
        <v>0.68190862919501471</v>
      </c>
      <c r="Z206" s="106">
        <f t="shared" si="83"/>
        <v>-2.4262715861451917E-2</v>
      </c>
      <c r="AA206" s="106">
        <f t="shared" si="84"/>
        <v>1.0910732395563645E-2</v>
      </c>
      <c r="AB206" s="105">
        <f t="shared" si="85"/>
        <v>0.18918481242244575</v>
      </c>
      <c r="AC206" s="106">
        <f t="shared" si="86"/>
        <v>0.1347141448840001</v>
      </c>
      <c r="AD206" s="106">
        <f t="shared" si="87"/>
        <v>8.5243386254096581E-2</v>
      </c>
      <c r="AE206" s="105">
        <f t="shared" si="79"/>
        <v>3.0602614491604233E-2</v>
      </c>
      <c r="AF206" s="107">
        <f t="shared" si="88"/>
        <v>3.0620300065716166</v>
      </c>
      <c r="AG206" s="108">
        <f t="shared" si="89"/>
        <v>1.5113321627788892</v>
      </c>
    </row>
    <row r="207" spans="1:33" x14ac:dyDescent="0.15">
      <c r="A207" s="2"/>
      <c r="F207" s="109">
        <v>0.94688000000000005</v>
      </c>
    </row>
    <row r="208" spans="1:33" x14ac:dyDescent="0.15">
      <c r="A208" s="2"/>
      <c r="F208" s="109"/>
    </row>
    <row r="209" spans="1:6" x14ac:dyDescent="0.15">
      <c r="A209" s="2"/>
      <c r="F209" s="109">
        <v>0.93844000000000005</v>
      </c>
    </row>
    <row r="210" spans="1:6" x14ac:dyDescent="0.15">
      <c r="A210" s="2"/>
      <c r="F210" s="110"/>
    </row>
    <row r="211" spans="1:6" x14ac:dyDescent="0.15">
      <c r="A211" s="2"/>
      <c r="F211" s="110"/>
    </row>
    <row r="212" spans="1:6" x14ac:dyDescent="0.15">
      <c r="A212" s="2"/>
    </row>
    <row r="213" spans="1:6" x14ac:dyDescent="0.15">
      <c r="A213" s="2"/>
    </row>
    <row r="214" spans="1:6" x14ac:dyDescent="0.15">
      <c r="A214" s="2"/>
    </row>
    <row r="215" spans="1:6" x14ac:dyDescent="0.15">
      <c r="A215" s="2"/>
    </row>
    <row r="216" spans="1:6" x14ac:dyDescent="0.15">
      <c r="A216" s="2"/>
    </row>
    <row r="217" spans="1:6" x14ac:dyDescent="0.15">
      <c r="A217" s="2"/>
    </row>
    <row r="218" spans="1:6" x14ac:dyDescent="0.15">
      <c r="A218" s="2"/>
    </row>
    <row r="219" spans="1:6" x14ac:dyDescent="0.15">
      <c r="A219" s="2"/>
    </row>
    <row r="220" spans="1:6" x14ac:dyDescent="0.15">
      <c r="A220" s="2"/>
    </row>
    <row r="221" spans="1:6" x14ac:dyDescent="0.15">
      <c r="A221" s="2"/>
    </row>
    <row r="222" spans="1:6" x14ac:dyDescent="0.15">
      <c r="A222" s="2"/>
    </row>
  </sheetData>
  <mergeCells count="2">
    <mergeCell ref="B2:C2"/>
    <mergeCell ref="T2:U2"/>
  </mergeCells>
  <phoneticPr fontId="2"/>
  <conditionalFormatting sqref="N3">
    <cfRule type="cellIs" dxfId="1" priority="2" stopIfTrue="1" operator="lessThan">
      <formula>0</formula>
    </cfRule>
  </conditionalFormatting>
  <conditionalFormatting sqref="AF3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Inflow</vt:lpstr>
      <vt:lpstr>measurement points</vt:lpstr>
      <vt:lpstr>Measurement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katada</dc:creator>
  <cp:lastModifiedBy>ytomi</cp:lastModifiedBy>
  <dcterms:created xsi:type="dcterms:W3CDTF">2011-12-03T02:53:51Z</dcterms:created>
  <dcterms:modified xsi:type="dcterms:W3CDTF">2020-01-26T06:31:29Z</dcterms:modified>
</cp:coreProperties>
</file>