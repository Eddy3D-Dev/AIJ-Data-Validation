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dek\Dropbox\Documents\5.AIJ\屋外空気環境小委員会\202207_工芸大風洞実験データ\"/>
    </mc:Choice>
  </mc:AlternateContent>
  <xr:revisionPtr revIDLastSave="0" documentId="8_{AF770FCD-B022-464C-9B65-B573E561A387}" xr6:coauthVersionLast="47" xr6:coauthVersionMax="47" xr10:uidLastSave="{00000000-0000-0000-0000-000000000000}"/>
  <bookViews>
    <workbookView xWindow="-25320" yWindow="1280" windowWidth="28800" windowHeight="15330" xr2:uid="{A9C4F13E-374E-486F-80F6-14F0C63049D4}"/>
  </bookViews>
  <sheets>
    <sheet name="Measurement  Point " sheetId="3" r:id="rId1"/>
    <sheet name="Field Measurement" sheetId="1" r:id="rId2"/>
    <sheet name="Wind tunnel experiment" sheetId="5" r:id="rId3"/>
    <sheet name="Approaching flow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5" l="1"/>
  <c r="L24" i="5" l="1"/>
  <c r="D50" i="1" l="1"/>
  <c r="D49" i="1"/>
  <c r="D48" i="1"/>
  <c r="Q28" i="5"/>
  <c r="N29" i="5"/>
  <c r="L28" i="5"/>
  <c r="K29" i="5"/>
  <c r="H24" i="5"/>
  <c r="C9" i="5"/>
  <c r="M37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D37" i="1"/>
  <c r="E37" i="1"/>
  <c r="F37" i="1"/>
  <c r="G37" i="1"/>
  <c r="H37" i="1"/>
  <c r="I37" i="1"/>
  <c r="J37" i="1"/>
  <c r="K37" i="1"/>
  <c r="L37" i="1"/>
  <c r="N37" i="1"/>
  <c r="O37" i="1"/>
  <c r="P37" i="1"/>
  <c r="Q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0" i="1"/>
  <c r="N28" i="5"/>
  <c r="P24" i="5" l="1"/>
  <c r="S27" i="5"/>
  <c r="Q32" i="5"/>
  <c r="H25" i="5"/>
  <c r="I25" i="5"/>
  <c r="J25" i="5"/>
  <c r="K25" i="5"/>
  <c r="L25" i="5"/>
  <c r="M25" i="5"/>
  <c r="H26" i="5"/>
  <c r="I26" i="5"/>
  <c r="J26" i="5"/>
  <c r="K26" i="5"/>
  <c r="L26" i="5"/>
  <c r="M26" i="5"/>
  <c r="H27" i="5"/>
  <c r="I27" i="5"/>
  <c r="J27" i="5"/>
  <c r="K27" i="5"/>
  <c r="L27" i="5"/>
  <c r="M27" i="5"/>
  <c r="I28" i="5"/>
  <c r="J28" i="5"/>
  <c r="K28" i="5"/>
  <c r="M28" i="5"/>
  <c r="H29" i="5"/>
  <c r="I29" i="5"/>
  <c r="J29" i="5"/>
  <c r="L29" i="5"/>
  <c r="M29" i="5"/>
  <c r="H30" i="5"/>
  <c r="I30" i="5"/>
  <c r="J30" i="5"/>
  <c r="K30" i="5"/>
  <c r="L30" i="5"/>
  <c r="M30" i="5"/>
  <c r="H31" i="5"/>
  <c r="I31" i="5"/>
  <c r="J31" i="5"/>
  <c r="K31" i="5"/>
  <c r="L31" i="5"/>
  <c r="M31" i="5"/>
  <c r="H32" i="5"/>
  <c r="I32" i="5"/>
  <c r="J32" i="5"/>
  <c r="K32" i="5"/>
  <c r="L32" i="5"/>
  <c r="M32" i="5"/>
  <c r="H33" i="5"/>
  <c r="I33" i="5"/>
  <c r="J33" i="5"/>
  <c r="K33" i="5"/>
  <c r="L33" i="5"/>
  <c r="M33" i="5"/>
  <c r="H34" i="5"/>
  <c r="I34" i="5"/>
  <c r="J34" i="5"/>
  <c r="K34" i="5"/>
  <c r="L34" i="5"/>
  <c r="M34" i="5"/>
  <c r="H35" i="5"/>
  <c r="I35" i="5"/>
  <c r="J35" i="5"/>
  <c r="K35" i="5"/>
  <c r="L35" i="5"/>
  <c r="M35" i="5"/>
  <c r="H36" i="5"/>
  <c r="I36" i="5"/>
  <c r="J36" i="5"/>
  <c r="K36" i="5"/>
  <c r="L36" i="5"/>
  <c r="M36" i="5"/>
  <c r="H37" i="5"/>
  <c r="I37" i="5"/>
  <c r="J37" i="5"/>
  <c r="K37" i="5"/>
  <c r="L37" i="5"/>
  <c r="M37" i="5"/>
  <c r="H38" i="5"/>
  <c r="I38" i="5"/>
  <c r="J38" i="5"/>
  <c r="K38" i="5"/>
  <c r="L38" i="5"/>
  <c r="M38" i="5"/>
  <c r="I24" i="5"/>
  <c r="J24" i="5"/>
  <c r="K24" i="5"/>
  <c r="M24" i="5"/>
  <c r="S24" i="5"/>
  <c r="N30" i="5" l="1"/>
  <c r="R36" i="5"/>
  <c r="N31" i="5"/>
  <c r="S35" i="5"/>
  <c r="S31" i="5"/>
  <c r="R27" i="5"/>
  <c r="N34" i="5"/>
  <c r="R35" i="5"/>
  <c r="O31" i="5"/>
  <c r="O27" i="5"/>
  <c r="N38" i="5"/>
  <c r="O35" i="5"/>
  <c r="S30" i="5"/>
  <c r="P26" i="5"/>
  <c r="S38" i="5"/>
  <c r="P34" i="5"/>
  <c r="P30" i="5"/>
  <c r="O26" i="5"/>
  <c r="P38" i="5"/>
  <c r="O34" i="5"/>
  <c r="Q29" i="5"/>
  <c r="Q25" i="5"/>
  <c r="Q37" i="5"/>
  <c r="Q33" i="5"/>
  <c r="P29" i="5"/>
  <c r="Q24" i="5"/>
  <c r="N26" i="5"/>
  <c r="P37" i="5"/>
  <c r="R32" i="5"/>
  <c r="R28" i="5"/>
  <c r="N27" i="5"/>
  <c r="N35" i="5"/>
  <c r="O38" i="5"/>
  <c r="Q36" i="5"/>
  <c r="S34" i="5"/>
  <c r="P33" i="5"/>
  <c r="R31" i="5"/>
  <c r="O30" i="5"/>
  <c r="S26" i="5"/>
  <c r="P25" i="5"/>
  <c r="N36" i="5"/>
  <c r="S37" i="5"/>
  <c r="P36" i="5"/>
  <c r="R34" i="5"/>
  <c r="O33" i="5"/>
  <c r="Q31" i="5"/>
  <c r="S29" i="5"/>
  <c r="P28" i="5"/>
  <c r="R26" i="5"/>
  <c r="O25" i="5"/>
  <c r="N37" i="5"/>
  <c r="R37" i="5"/>
  <c r="O36" i="5"/>
  <c r="Q34" i="5"/>
  <c r="S32" i="5"/>
  <c r="P31" i="5"/>
  <c r="R29" i="5"/>
  <c r="O28" i="5"/>
  <c r="Q26" i="5"/>
  <c r="R24" i="5"/>
  <c r="N24" i="5"/>
  <c r="N32" i="5"/>
  <c r="R38" i="5"/>
  <c r="O37" i="5"/>
  <c r="Q35" i="5"/>
  <c r="S33" i="5"/>
  <c r="P32" i="5"/>
  <c r="R30" i="5"/>
  <c r="O29" i="5"/>
  <c r="Q27" i="5"/>
  <c r="S25" i="5"/>
  <c r="O24" i="5"/>
  <c r="N25" i="5"/>
  <c r="N33" i="5"/>
  <c r="Q38" i="5"/>
  <c r="S36" i="5"/>
  <c r="P35" i="5"/>
  <c r="R33" i="5"/>
  <c r="O32" i="5"/>
  <c r="Q30" i="5"/>
  <c r="S28" i="5"/>
  <c r="P27" i="5"/>
  <c r="R25" i="5"/>
  <c r="F49" i="1" l="1"/>
  <c r="C49" i="1"/>
  <c r="C48" i="1"/>
  <c r="C50" i="1"/>
  <c r="Q48" i="1"/>
  <c r="H48" i="1"/>
  <c r="N48" i="1"/>
  <c r="J48" i="1"/>
  <c r="I48" i="1"/>
  <c r="O48" i="1"/>
  <c r="O49" i="1"/>
  <c r="G49" i="1"/>
  <c r="M48" i="1"/>
  <c r="L48" i="1"/>
  <c r="K48" i="1"/>
  <c r="K49" i="1"/>
  <c r="E49" i="1"/>
  <c r="J49" i="1"/>
  <c r="G48" i="1"/>
  <c r="N49" i="1"/>
  <c r="P49" i="1"/>
  <c r="M49" i="1"/>
  <c r="L49" i="1"/>
  <c r="P48" i="1"/>
  <c r="Q49" i="1"/>
  <c r="I49" i="1"/>
  <c r="H49" i="1"/>
  <c r="F48" i="1"/>
  <c r="E48" i="1"/>
  <c r="Q50" i="1" l="1"/>
  <c r="P50" i="1"/>
  <c r="O50" i="1"/>
  <c r="N50" i="1"/>
  <c r="M50" i="1"/>
  <c r="L50" i="1"/>
  <c r="K50" i="1"/>
  <c r="J50" i="1"/>
  <c r="I50" i="1"/>
  <c r="H50" i="1"/>
  <c r="G50" i="1"/>
  <c r="F50" i="1"/>
  <c r="E50" i="1"/>
</calcChain>
</file>

<file path=xl/sharedStrings.xml><?xml version="1.0" encoding="utf-8"?>
<sst xmlns="http://schemas.openxmlformats.org/spreadsheetml/2006/main" count="102" uniqueCount="91">
  <si>
    <t>variables</t>
    <phoneticPr fontId="3"/>
  </si>
  <si>
    <t xml:space="preserve"> value</t>
    <phoneticPr fontId="3"/>
  </si>
  <si>
    <t>unit</t>
    <phoneticPr fontId="3"/>
  </si>
  <si>
    <t>m/s</t>
    <phoneticPr fontId="3"/>
  </si>
  <si>
    <t>H</t>
    <phoneticPr fontId="3"/>
  </si>
  <si>
    <t>m</t>
    <phoneticPr fontId="3"/>
  </si>
  <si>
    <t>ppm</t>
    <phoneticPr fontId="3"/>
  </si>
  <si>
    <t>q</t>
    <phoneticPr fontId="3"/>
  </si>
  <si>
    <t>1/600</t>
    <phoneticPr fontId="1"/>
  </si>
  <si>
    <t>r</t>
    <phoneticPr fontId="1"/>
  </si>
  <si>
    <t>m</t>
    <phoneticPr fontId="1"/>
  </si>
  <si>
    <t>Reference velocity</t>
    <phoneticPr fontId="1"/>
  </si>
  <si>
    <t>175°</t>
    <phoneticPr fontId="1"/>
  </si>
  <si>
    <t>180°</t>
    <phoneticPr fontId="1"/>
  </si>
  <si>
    <t>185°</t>
    <phoneticPr fontId="1"/>
  </si>
  <si>
    <r>
      <t>U</t>
    </r>
    <r>
      <rPr>
        <sz val="8"/>
        <color indexed="8"/>
        <rFont val="Times New Roman"/>
        <family val="1"/>
      </rPr>
      <t>H</t>
    </r>
    <phoneticPr fontId="3"/>
  </si>
  <si>
    <r>
      <t>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/s</t>
    </r>
    <phoneticPr fontId="3"/>
  </si>
  <si>
    <r>
      <t>C</t>
    </r>
    <r>
      <rPr>
        <sz val="8"/>
        <color indexed="8"/>
        <rFont val="Times New Roman"/>
        <family val="1"/>
      </rPr>
      <t>0</t>
    </r>
    <phoneticPr fontId="3"/>
  </si>
  <si>
    <r>
      <t>C</t>
    </r>
    <r>
      <rPr>
        <sz val="6"/>
        <color indexed="8"/>
        <rFont val="Times New Roman"/>
        <family val="1"/>
      </rPr>
      <t>0</t>
    </r>
    <r>
      <rPr>
        <sz val="11"/>
        <color theme="1"/>
        <rFont val="Times New Roman"/>
        <family val="1"/>
      </rPr>
      <t>= q/ (U</t>
    </r>
    <r>
      <rPr>
        <sz val="6"/>
        <color indexed="8"/>
        <rFont val="Times New Roman"/>
        <family val="1"/>
      </rPr>
      <t>H</t>
    </r>
    <r>
      <rPr>
        <sz val="11"/>
        <color theme="1"/>
        <rFont val="Times New Roman"/>
        <family val="1"/>
      </rPr>
      <t>H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  <phoneticPr fontId="3"/>
  </si>
  <si>
    <r>
      <t>&lt;u&gt;/U</t>
    </r>
    <r>
      <rPr>
        <vertAlign val="subscript"/>
        <sz val="11"/>
        <color theme="1"/>
        <rFont val="Times New Roman"/>
        <family val="1"/>
      </rPr>
      <t>H</t>
    </r>
    <phoneticPr fontId="1"/>
  </si>
  <si>
    <r>
      <t>&lt;v&gt;/U</t>
    </r>
    <r>
      <rPr>
        <vertAlign val="subscript"/>
        <sz val="11"/>
        <color theme="1"/>
        <rFont val="Times New Roman"/>
        <family val="1"/>
      </rPr>
      <t>H</t>
    </r>
    <phoneticPr fontId="1"/>
  </si>
  <si>
    <r>
      <t>&lt;w&gt;/U</t>
    </r>
    <r>
      <rPr>
        <vertAlign val="subscript"/>
        <sz val="11"/>
        <color theme="1"/>
        <rFont val="Times New Roman"/>
        <family val="1"/>
      </rPr>
      <t>H</t>
    </r>
    <phoneticPr fontId="1"/>
  </si>
  <si>
    <r>
      <rPr>
        <sz val="11"/>
        <color theme="1"/>
        <rFont val="Times New Roman"/>
        <family val="1"/>
        <charset val="161"/>
      </rPr>
      <t>σ</t>
    </r>
    <r>
      <rPr>
        <sz val="11"/>
        <color theme="1"/>
        <rFont val="Yu Gothic"/>
        <family val="1"/>
        <charset val="128"/>
      </rPr>
      <t>u</t>
    </r>
    <r>
      <rPr>
        <sz val="11"/>
        <color theme="1"/>
        <rFont val="Times New Roman"/>
        <family val="1"/>
      </rPr>
      <t>/U</t>
    </r>
    <r>
      <rPr>
        <vertAlign val="subscript"/>
        <sz val="11"/>
        <color theme="1"/>
        <rFont val="Times New Roman"/>
        <family val="1"/>
      </rPr>
      <t>H</t>
    </r>
    <phoneticPr fontId="1"/>
  </si>
  <si>
    <r>
      <t>σ</t>
    </r>
    <r>
      <rPr>
        <sz val="11"/>
        <color theme="1"/>
        <rFont val="Yu Gothic"/>
        <family val="1"/>
        <charset val="128"/>
      </rPr>
      <t>v</t>
    </r>
    <r>
      <rPr>
        <sz val="11"/>
        <color theme="1"/>
        <rFont val="Times New Roman"/>
        <family val="1"/>
      </rPr>
      <t>/U</t>
    </r>
    <r>
      <rPr>
        <vertAlign val="subscript"/>
        <sz val="11"/>
        <color theme="1"/>
        <rFont val="Times New Roman"/>
        <family val="1"/>
      </rPr>
      <t>H</t>
    </r>
    <phoneticPr fontId="1"/>
  </si>
  <si>
    <r>
      <t>σ</t>
    </r>
    <r>
      <rPr>
        <sz val="11"/>
        <color theme="1"/>
        <rFont val="Yu Gothic"/>
        <family val="1"/>
        <charset val="128"/>
      </rPr>
      <t>w</t>
    </r>
    <r>
      <rPr>
        <sz val="11"/>
        <color theme="1"/>
        <rFont val="Times New Roman"/>
        <family val="1"/>
      </rPr>
      <t>/U</t>
    </r>
    <r>
      <rPr>
        <vertAlign val="subscript"/>
        <sz val="11"/>
        <color theme="1"/>
        <rFont val="Times New Roman"/>
        <family val="1"/>
      </rPr>
      <t>H</t>
    </r>
    <phoneticPr fontId="1"/>
  </si>
  <si>
    <t>&lt;c&gt;/C0</t>
    <phoneticPr fontId="1"/>
  </si>
  <si>
    <t>σc/C0</t>
    <phoneticPr fontId="1"/>
  </si>
  <si>
    <t>y</t>
    <phoneticPr fontId="1"/>
  </si>
  <si>
    <t>z</t>
    <phoneticPr fontId="1"/>
  </si>
  <si>
    <t>Field measurment 175°
(Average of Run 12 and 13)</t>
    <phoneticPr fontId="5"/>
  </si>
  <si>
    <t>Field measurment 180°
(Average of Run 14, 15 and 16)</t>
    <phoneticPr fontId="5"/>
  </si>
  <si>
    <t>Field measurment 185°
(Average of Run 16 and 17)</t>
    <phoneticPr fontId="5"/>
  </si>
  <si>
    <t>Wind tunnel experiment 175°</t>
    <phoneticPr fontId="1"/>
  </si>
  <si>
    <t>Wind tunnel experiment 180°</t>
    <phoneticPr fontId="1"/>
  </si>
  <si>
    <t>Wind tunnel experiment 185°</t>
    <phoneticPr fontId="1"/>
  </si>
  <si>
    <t>Measurement  Point</t>
    <phoneticPr fontId="1"/>
  </si>
  <si>
    <t xml:space="preserve">x  </t>
    <phoneticPr fontId="1"/>
  </si>
  <si>
    <t>Coordinate  [m]</t>
    <phoneticPr fontId="1"/>
  </si>
  <si>
    <t>Gas emission rate</t>
    <phoneticPr fontId="1"/>
  </si>
  <si>
    <t>Measurement Point</t>
  </si>
  <si>
    <t>Diameter of gas source</t>
  </si>
  <si>
    <t>Reference concentration</t>
    <phoneticPr fontId="3"/>
  </si>
  <si>
    <t>Run</t>
    <phoneticPr fontId="1"/>
  </si>
  <si>
    <t>Measurement Point</t>
    <phoneticPr fontId="1"/>
  </si>
  <si>
    <t>model scale</t>
    <phoneticPr fontId="1"/>
  </si>
  <si>
    <t>Measurement Point</t>
    <phoneticPr fontId="1"/>
  </si>
  <si>
    <t xml:space="preserve"> 180°</t>
    <phoneticPr fontId="1"/>
  </si>
  <si>
    <t>Experimental Wind direction</t>
    <phoneticPr fontId="1"/>
  </si>
  <si>
    <t>180 °</t>
    <phoneticPr fontId="1"/>
  </si>
  <si>
    <t>175 °</t>
    <phoneticPr fontId="1"/>
  </si>
  <si>
    <t>185 °</t>
    <phoneticPr fontId="1"/>
  </si>
  <si>
    <t>Normalized values</t>
    <phoneticPr fontId="1"/>
  </si>
  <si>
    <t xml:space="preserve"> values</t>
    <phoneticPr fontId="1"/>
  </si>
  <si>
    <r>
      <t xml:space="preserve">Wind velocity at 
reference point      
</t>
    </r>
    <r>
      <rPr>
        <i/>
        <sz val="11"/>
        <color theme="1"/>
        <rFont val="Times New Roman"/>
        <family val="1"/>
      </rPr>
      <t>U</t>
    </r>
    <r>
      <rPr>
        <i/>
        <vertAlign val="subscript"/>
        <sz val="11"/>
        <color theme="1"/>
        <rFont val="Times New Roman"/>
        <family val="1"/>
      </rPr>
      <t xml:space="preserve">H  </t>
    </r>
    <r>
      <rPr>
        <sz val="11"/>
        <color theme="1"/>
        <rFont val="Times New Roman"/>
        <family val="1"/>
      </rPr>
      <t>[m/s]</t>
    </r>
    <phoneticPr fontId="1"/>
  </si>
  <si>
    <r>
      <t xml:space="preserve">Concentration </t>
    </r>
    <r>
      <rPr>
        <sz val="11"/>
        <color theme="1"/>
        <rFont val="Yu Gothic"/>
        <family val="1"/>
        <charset val="128"/>
      </rPr>
      <t xml:space="preserve">　
</t>
    </r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 [ppq]</t>
    </r>
    <phoneticPr fontId="1"/>
  </si>
  <si>
    <t>Wind direction at 
referece point  
  [°]</t>
    <phoneticPr fontId="1"/>
  </si>
  <si>
    <r>
      <t>gas emissions rate</t>
    </r>
    <r>
      <rPr>
        <sz val="11"/>
        <color theme="1"/>
        <rFont val="Yu Gothic"/>
        <family val="1"/>
        <charset val="128"/>
      </rPr>
      <t xml:space="preserve">　
</t>
    </r>
    <r>
      <rPr>
        <i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Yu Gothic"/>
        <family val="1"/>
        <charset val="128"/>
      </rPr>
      <t>[</t>
    </r>
    <r>
      <rPr>
        <sz val="11"/>
        <color theme="1"/>
        <rFont val="Times New Roman"/>
        <family val="1"/>
      </rPr>
      <t>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/s]</t>
    </r>
    <phoneticPr fontId="2"/>
  </si>
  <si>
    <r>
      <t xml:space="preserve">Normalized Concentration  </t>
    </r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*   [-]     
 </t>
    </r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2"/>
      </rPr>
      <t>*=</t>
    </r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2"/>
      </rPr>
      <t>/</t>
    </r>
    <r>
      <rPr>
        <i/>
        <sz val="11"/>
        <color theme="1"/>
        <rFont val="Times New Roman"/>
        <family val="1"/>
      </rPr>
      <t>C</t>
    </r>
    <r>
      <rPr>
        <i/>
        <vertAlign val="subscript"/>
        <sz val="11"/>
        <color theme="1"/>
        <rFont val="Times New Roman"/>
        <family val="1"/>
      </rPr>
      <t xml:space="preserve">0   </t>
    </r>
    <r>
      <rPr>
        <i/>
        <sz val="11"/>
        <color theme="1"/>
        <rFont val="Times New Roman"/>
        <family val="1"/>
      </rPr>
      <t>, C</t>
    </r>
    <r>
      <rPr>
        <i/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= </t>
    </r>
    <r>
      <rPr>
        <i/>
        <sz val="11"/>
        <color theme="1"/>
        <rFont val="Times New Roman"/>
        <family val="1"/>
      </rPr>
      <t>q/ (U</t>
    </r>
    <r>
      <rPr>
        <i/>
        <vertAlign val="subscript"/>
        <sz val="11"/>
        <color theme="1"/>
        <rFont val="Times New Roman"/>
        <family val="1"/>
      </rPr>
      <t>H</t>
    </r>
    <r>
      <rPr>
        <i/>
        <sz val="11"/>
        <color theme="1"/>
        <rFont val="Times New Roman"/>
        <family val="1"/>
      </rPr>
      <t>H</t>
    </r>
    <r>
      <rPr>
        <i/>
        <vertAlign val="superscript"/>
        <sz val="11"/>
        <color theme="1"/>
        <rFont val="Times New Roman"/>
        <family val="1"/>
      </rPr>
      <t>2</t>
    </r>
    <r>
      <rPr>
        <i/>
        <sz val="11"/>
        <color theme="1"/>
        <rFont val="Times New Roman"/>
        <family val="1"/>
      </rPr>
      <t xml:space="preserve">)  </t>
    </r>
    <phoneticPr fontId="1"/>
  </si>
  <si>
    <t>Field measurement data</t>
    <phoneticPr fontId="1"/>
  </si>
  <si>
    <t>Wind tunnel experiment data</t>
    <phoneticPr fontId="1"/>
  </si>
  <si>
    <t>&lt;u&gt;  [m/s]</t>
    <phoneticPr fontId="1"/>
  </si>
  <si>
    <t>&lt;v&gt;  [m/s]</t>
    <phoneticPr fontId="1"/>
  </si>
  <si>
    <r>
      <t xml:space="preserve">σu </t>
    </r>
    <r>
      <rPr>
        <sz val="11"/>
        <color theme="1"/>
        <rFont val="Yu Gothic"/>
        <family val="1"/>
        <charset val="128"/>
      </rPr>
      <t xml:space="preserve"> </t>
    </r>
    <r>
      <rPr>
        <sz val="11"/>
        <color theme="1"/>
        <rFont val="Times New Roman"/>
        <family val="1"/>
      </rPr>
      <t>[m/s]</t>
    </r>
    <phoneticPr fontId="1"/>
  </si>
  <si>
    <r>
      <t>σw</t>
    </r>
    <r>
      <rPr>
        <sz val="11"/>
        <color theme="1"/>
        <rFont val="Yu Gothic"/>
        <family val="1"/>
        <charset val="128"/>
      </rPr>
      <t xml:space="preserve"> </t>
    </r>
    <r>
      <rPr>
        <sz val="11"/>
        <color theme="1"/>
        <rFont val="Times New Roman"/>
        <family val="1"/>
      </rPr>
      <t xml:space="preserve"> [m/s]</t>
    </r>
    <phoneticPr fontId="1"/>
  </si>
  <si>
    <t>&lt;c&gt;  [ppm]</t>
    <phoneticPr fontId="1"/>
  </si>
  <si>
    <t>σc  [ppm]</t>
    <phoneticPr fontId="1"/>
  </si>
  <si>
    <r>
      <t xml:space="preserve">σc </t>
    </r>
    <r>
      <rPr>
        <sz val="11"/>
        <color theme="1"/>
        <rFont val="Yu Gothic"/>
        <family val="1"/>
        <charset val="128"/>
      </rPr>
      <t xml:space="preserve"> </t>
    </r>
    <r>
      <rPr>
        <sz val="11"/>
        <color theme="1"/>
        <rFont val="Times New Roman"/>
        <family val="1"/>
      </rPr>
      <t>[ppm]</t>
    </r>
    <phoneticPr fontId="1"/>
  </si>
  <si>
    <r>
      <t xml:space="preserve">σv </t>
    </r>
    <r>
      <rPr>
        <sz val="11"/>
        <color theme="1"/>
        <rFont val="Yu Gothic"/>
        <family val="1"/>
        <charset val="128"/>
      </rPr>
      <t xml:space="preserve"> </t>
    </r>
    <r>
      <rPr>
        <sz val="11"/>
        <color theme="1"/>
        <rFont val="Times New Roman"/>
        <family val="1"/>
      </rPr>
      <t>[m/s]</t>
    </r>
    <phoneticPr fontId="1"/>
  </si>
  <si>
    <r>
      <t xml:space="preserve">&lt; &gt;  : Mean value         </t>
    </r>
    <r>
      <rPr>
        <sz val="11"/>
        <color theme="1"/>
        <rFont val="Times New Roman"/>
        <family val="1"/>
        <charset val="161"/>
      </rPr>
      <t>σ</t>
    </r>
    <r>
      <rPr>
        <sz val="11"/>
        <color theme="1"/>
        <rFont val="Yu Gothic"/>
        <family val="1"/>
        <charset val="128"/>
      </rPr>
      <t xml:space="preserve">： </t>
    </r>
    <r>
      <rPr>
        <sz val="11"/>
        <color theme="1"/>
        <rFont val="Times New Roman"/>
        <family val="1"/>
      </rPr>
      <t>Standard deviation</t>
    </r>
    <phoneticPr fontId="1"/>
  </si>
  <si>
    <t>Representative values</t>
    <phoneticPr fontId="1"/>
  </si>
  <si>
    <t>&lt;u&gt; [m/s]</t>
    <phoneticPr fontId="1"/>
  </si>
  <si>
    <t>&lt;v&gt; [m/s]</t>
    <phoneticPr fontId="1"/>
  </si>
  <si>
    <t>&lt;w&gt; [m/s]</t>
    <phoneticPr fontId="1"/>
  </si>
  <si>
    <t>σu [m/s]</t>
    <phoneticPr fontId="1"/>
  </si>
  <si>
    <t>σv [m/s]</t>
    <phoneticPr fontId="1"/>
  </si>
  <si>
    <t>σw [m/s]</t>
    <phoneticPr fontId="1"/>
  </si>
  <si>
    <t>Reference height 
(Rooftop of the main building)</t>
    <phoneticPr fontId="3"/>
  </si>
  <si>
    <t>Reference point</t>
    <phoneticPr fontId="1"/>
  </si>
  <si>
    <t>rpm</t>
    <phoneticPr fontId="1"/>
  </si>
  <si>
    <t>Origin point
(Ground surface)</t>
    <phoneticPr fontId="1"/>
  </si>
  <si>
    <t>Tracer gas source</t>
    <phoneticPr fontId="1"/>
  </si>
  <si>
    <r>
      <t xml:space="preserve">Reference Hight     
</t>
    </r>
    <r>
      <rPr>
        <i/>
        <sz val="11"/>
        <color theme="1"/>
        <rFont val="Times New Roman"/>
        <family val="1"/>
      </rPr>
      <t xml:space="preserve">H </t>
    </r>
    <r>
      <rPr>
        <i/>
        <vertAlign val="subscript"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[m]</t>
    </r>
    <phoneticPr fontId="1"/>
  </si>
  <si>
    <t>Fan speed of wind tunnel</t>
    <phoneticPr fontId="1"/>
  </si>
  <si>
    <t>&lt;w&gt;  [m/s]</t>
    <phoneticPr fontId="1"/>
  </si>
  <si>
    <t xml:space="preserve">Coordinates of measurement points of 
wind tunnel experimental model    
model scale : 1/600
Wind tunnel floor :  z=0.0 </t>
    <phoneticPr fontId="1"/>
  </si>
  <si>
    <t>Center of turntable (X=0, Y=0), Wind tunnel floor (Z=0)</t>
    <phoneticPr fontId="1"/>
  </si>
  <si>
    <r>
      <t>u'w' [m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/s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phoneticPr fontId="1"/>
  </si>
  <si>
    <t>X [m]</t>
    <phoneticPr fontId="1"/>
  </si>
  <si>
    <t>Y [m]</t>
    <phoneticPr fontId="1"/>
  </si>
  <si>
    <t>Z [m]</t>
    <phoneticPr fontId="1"/>
  </si>
  <si>
    <t>3m above ground surface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</si>
</sst>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#,##0.000;[Red]\-#,##0.000"/>
    <numFmt numFmtId="178" formatCode="0.0"/>
    <numFmt numFmtId="179" formatCode="0.0000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Times New Roman"/>
      <family val="1"/>
    </font>
    <font>
      <sz val="8"/>
      <color indexed="8"/>
      <name val="Times New Roman"/>
      <family val="1"/>
    </font>
    <font>
      <vertAlign val="superscript"/>
      <sz val="11"/>
      <color theme="1"/>
      <name val="Times New Roman"/>
      <family val="1"/>
    </font>
    <font>
      <sz val="6"/>
      <color indexed="8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theme="1"/>
      <name val="Times New Roman"/>
      <family val="1"/>
      <charset val="161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1"/>
      <color theme="1"/>
      <name val="Times New Roman"/>
      <family val="2"/>
    </font>
    <font>
      <vertAlign val="super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8" fontId="6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0" borderId="0" xfId="0" applyFont="1">
      <alignment vertical="center"/>
    </xf>
    <xf numFmtId="2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 textRotation="255"/>
    </xf>
    <xf numFmtId="178" fontId="6" fillId="0" borderId="1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2" fontId="6" fillId="0" borderId="27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2" fontId="6" fillId="0" borderId="43" xfId="0" applyNumberFormat="1" applyFont="1" applyBorder="1" applyAlignment="1">
      <alignment horizontal="center" vertical="center"/>
    </xf>
    <xf numFmtId="2" fontId="6" fillId="0" borderId="44" xfId="0" applyNumberFormat="1" applyFont="1" applyBorder="1" applyAlignment="1">
      <alignment horizontal="center" vertical="center"/>
    </xf>
    <xf numFmtId="2" fontId="6" fillId="0" borderId="45" xfId="0" applyNumberFormat="1" applyFont="1" applyBorder="1" applyAlignment="1">
      <alignment horizontal="center" vertical="center"/>
    </xf>
    <xf numFmtId="2" fontId="6" fillId="0" borderId="46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78" fontId="6" fillId="0" borderId="2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8" fontId="6" fillId="0" borderId="43" xfId="0" applyNumberFormat="1" applyFont="1" applyBorder="1" applyAlignment="1">
      <alignment horizontal="center" vertical="center"/>
    </xf>
    <xf numFmtId="178" fontId="6" fillId="0" borderId="44" xfId="0" applyNumberFormat="1" applyFont="1" applyBorder="1" applyAlignment="1">
      <alignment horizontal="center" vertical="center"/>
    </xf>
    <xf numFmtId="178" fontId="6" fillId="0" borderId="45" xfId="0" applyNumberFormat="1" applyFont="1" applyBorder="1" applyAlignment="1">
      <alignment horizontal="center" vertical="center"/>
    </xf>
    <xf numFmtId="178" fontId="6" fillId="0" borderId="46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1" fontId="6" fillId="0" borderId="13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/>
    </xf>
    <xf numFmtId="11" fontId="6" fillId="0" borderId="15" xfId="0" applyNumberFormat="1" applyFont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2" fontId="6" fillId="0" borderId="15" xfId="0" applyNumberFormat="1" applyFont="1" applyFill="1" applyBorder="1" applyAlignment="1">
      <alignment horizontal="center" vertical="center"/>
    </xf>
    <xf numFmtId="178" fontId="6" fillId="0" borderId="15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178" fontId="6" fillId="0" borderId="16" xfId="0" applyNumberFormat="1" applyFont="1" applyBorder="1" applyAlignment="1">
      <alignment horizontal="center" vertical="center"/>
    </xf>
    <xf numFmtId="11" fontId="6" fillId="0" borderId="16" xfId="0" applyNumberFormat="1" applyFont="1" applyBorder="1" applyAlignment="1">
      <alignment horizontal="center" vertical="center"/>
    </xf>
    <xf numFmtId="177" fontId="6" fillId="0" borderId="14" xfId="2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25" xfId="0" applyFont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0" fillId="0" borderId="1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/>
    </xf>
    <xf numFmtId="177" fontId="6" fillId="0" borderId="0" xfId="2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11" xfId="0" quotePrefix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0" borderId="4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1" fontId="6" fillId="0" borderId="2" xfId="0" applyNumberFormat="1" applyFont="1" applyBorder="1" applyAlignment="1">
      <alignment horizontal="center" vertical="center"/>
    </xf>
    <xf numFmtId="11" fontId="6" fillId="0" borderId="3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 2" xfId="1" xr:uid="{A7A8BC5F-FCDD-4FB0-97D5-0D9A53C93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experiment'!$AI$4</c:f>
              <c:strCache>
                <c:ptCount val="1"/>
                <c:pt idx="0">
                  <c:v>Wind tunnel experiment 175°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experiment'!$N$24:$N$38</c:f>
              <c:numCache>
                <c:formatCode>0.00</c:formatCode>
                <c:ptCount val="15"/>
                <c:pt idx="0">
                  <c:v>1.752123206093853</c:v>
                </c:pt>
                <c:pt idx="1">
                  <c:v>2.2250295248515024</c:v>
                </c:pt>
                <c:pt idx="2">
                  <c:v>1.0618115653749887</c:v>
                </c:pt>
                <c:pt idx="3">
                  <c:v>0.83195545615994171</c:v>
                </c:pt>
                <c:pt idx="4">
                  <c:v>0.41176991980076855</c:v>
                </c:pt>
                <c:pt idx="5">
                  <c:v>0.64398760910394093</c:v>
                </c:pt>
                <c:pt idx="6">
                  <c:v>1.7831227997660808</c:v>
                </c:pt>
                <c:pt idx="7">
                  <c:v>0.32694389209962321</c:v>
                </c:pt>
                <c:pt idx="8">
                  <c:v>0.18527220700274205</c:v>
                </c:pt>
                <c:pt idx="9">
                  <c:v>0.4983379118745625</c:v>
                </c:pt>
                <c:pt idx="10">
                  <c:v>1.3270814116395696E-3</c:v>
                </c:pt>
                <c:pt idx="11">
                  <c:v>1.0169294314817676E-3</c:v>
                </c:pt>
                <c:pt idx="12">
                  <c:v>1.3881193931848928E-2</c:v>
                </c:pt>
                <c:pt idx="13">
                  <c:v>1.7196124705876295E-2</c:v>
                </c:pt>
                <c:pt idx="14">
                  <c:v>0.22083528926156279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ser>
          <c:idx val="1"/>
          <c:order val="1"/>
          <c:tx>
            <c:strRef>
              <c:f>'Field Measurement'!$B$48</c:f>
              <c:strCache>
                <c:ptCount val="1"/>
                <c:pt idx="0">
                  <c:v>Field measurment 175°
(Average of Run 12 and 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xVal>
            <c:numRef>
              <c:f>'Field Measurement'!$C$27:$Q$27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'Field Measurement'!$C$48:$Q$48</c:f>
              <c:numCache>
                <c:formatCode>#,##0.000;[Red]\-#,##0.000</c:formatCode>
                <c:ptCount val="15"/>
                <c:pt idx="0">
                  <c:v>1.4809643899705396</c:v>
                </c:pt>
                <c:pt idx="1">
                  <c:v>1.6189824189829642</c:v>
                </c:pt>
                <c:pt idx="2">
                  <c:v>0.76902031798386083</c:v>
                </c:pt>
                <c:pt idx="3">
                  <c:v>0.72334362911489714</c:v>
                </c:pt>
                <c:pt idx="4">
                  <c:v>0.53258141347508658</c:v>
                </c:pt>
                <c:pt idx="5">
                  <c:v>0.5123605411809915</c:v>
                </c:pt>
                <c:pt idx="6">
                  <c:v>1.1761302302420908</c:v>
                </c:pt>
                <c:pt idx="7">
                  <c:v>0.36407279204560017</c:v>
                </c:pt>
                <c:pt idx="8">
                  <c:v>0.26727094914820043</c:v>
                </c:pt>
                <c:pt idx="9">
                  <c:v>0.22885956321250167</c:v>
                </c:pt>
                <c:pt idx="10">
                  <c:v>6.4938548738311796E-3</c:v>
                </c:pt>
                <c:pt idx="11">
                  <c:v>5.2988311771487145E-3</c:v>
                </c:pt>
                <c:pt idx="12">
                  <c:v>2.150849654156527E-2</c:v>
                </c:pt>
                <c:pt idx="13">
                  <c:v>4.1499580824900746E-2</c:v>
                </c:pt>
                <c:pt idx="14">
                  <c:v>8.7173276226463453E-2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sz="1400"/>
                  <a:t>C*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1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900705694203896"/>
          <c:y val="1.3132821787811062E-2"/>
          <c:w val="0.82205626093525264"/>
          <c:h val="0.20081739920000638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ＭＳ ゴシック" panose="020B0609070205080204" pitchFamily="49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experiment'!$AK$4</c:f>
              <c:strCache>
                <c:ptCount val="1"/>
                <c:pt idx="0">
                  <c:v>Wind tunnel experiment 180°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experiment'!$P$24:$P$38</c:f>
              <c:numCache>
                <c:formatCode>0.00</c:formatCode>
                <c:ptCount val="15"/>
                <c:pt idx="0">
                  <c:v>3.0435720139374092</c:v>
                </c:pt>
                <c:pt idx="1">
                  <c:v>2.6322033505221287</c:v>
                </c:pt>
                <c:pt idx="2">
                  <c:v>1.8817359117182217</c:v>
                </c:pt>
                <c:pt idx="3">
                  <c:v>1.6347115721771237</c:v>
                </c:pt>
                <c:pt idx="4">
                  <c:v>0.78966426387185995</c:v>
                </c:pt>
                <c:pt idx="5">
                  <c:v>1.0916138449217079</c:v>
                </c:pt>
                <c:pt idx="6">
                  <c:v>1.5679471277072679</c:v>
                </c:pt>
                <c:pt idx="7">
                  <c:v>0.62344174864958868</c:v>
                </c:pt>
                <c:pt idx="8">
                  <c:v>0.47744834545368486</c:v>
                </c:pt>
                <c:pt idx="9">
                  <c:v>0.75129621983283745</c:v>
                </c:pt>
                <c:pt idx="10">
                  <c:v>3.6115730522463386E-3</c:v>
                </c:pt>
                <c:pt idx="11">
                  <c:v>-1.5616912714056612E-4</c:v>
                </c:pt>
                <c:pt idx="12">
                  <c:v>4.6947767017555139E-2</c:v>
                </c:pt>
                <c:pt idx="13">
                  <c:v>7.6668443906647996E-2</c:v>
                </c:pt>
                <c:pt idx="14">
                  <c:v>0.35032190313633887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ser>
          <c:idx val="1"/>
          <c:order val="1"/>
          <c:tx>
            <c:strRef>
              <c:f>'Field Measurement'!$B$49</c:f>
              <c:strCache>
                <c:ptCount val="1"/>
                <c:pt idx="0">
                  <c:v>Field measurment 180°
(Average of Run 14, 15 and 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xVal>
            <c:numRef>
              <c:f>'Field Measurement'!$C$27:$Q$27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'Field Measurement'!$C$49:$Q$49</c:f>
              <c:numCache>
                <c:formatCode>#,##0.000;[Red]\-#,##0.000</c:formatCode>
                <c:ptCount val="15"/>
                <c:pt idx="0">
                  <c:v>2.4035122455743037</c:v>
                </c:pt>
                <c:pt idx="1">
                  <c:v>2.3760765045951904</c:v>
                </c:pt>
                <c:pt idx="2">
                  <c:v>1.1633493694445309</c:v>
                </c:pt>
                <c:pt idx="3">
                  <c:v>1.0123695126137919</c:v>
                </c:pt>
                <c:pt idx="4">
                  <c:v>0.73976167320322339</c:v>
                </c:pt>
                <c:pt idx="5">
                  <c:v>0.90656141386249489</c:v>
                </c:pt>
                <c:pt idx="6">
                  <c:v>1.5000956909942047</c:v>
                </c:pt>
                <c:pt idx="7">
                  <c:v>0.56119869989981286</c:v>
                </c:pt>
                <c:pt idx="8">
                  <c:v>0.36990958722792416</c:v>
                </c:pt>
                <c:pt idx="9">
                  <c:v>0.44709499860805363</c:v>
                </c:pt>
                <c:pt idx="10">
                  <c:v>9.6996337252075477E-3</c:v>
                </c:pt>
                <c:pt idx="11">
                  <c:v>6.438778007483513E-3</c:v>
                </c:pt>
                <c:pt idx="12">
                  <c:v>3.5914094486699528E-2</c:v>
                </c:pt>
                <c:pt idx="13">
                  <c:v>7.4471493213553383E-2</c:v>
                </c:pt>
                <c:pt idx="14">
                  <c:v>0.17918997875116496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sz="1400"/>
                  <a:t>C*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1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900705694203896"/>
          <c:y val="1.3132821787811062E-2"/>
          <c:w val="0.82205626093525264"/>
          <c:h val="0.20081739920000638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ＭＳ ゴシック" panose="020B0609070205080204" pitchFamily="49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experiment'!$AM$4</c:f>
              <c:strCache>
                <c:ptCount val="1"/>
                <c:pt idx="0">
                  <c:v>Wind tunnel experiment 185°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experiment'!$R$24:$R$38</c:f>
              <c:numCache>
                <c:formatCode>0.00</c:formatCode>
                <c:ptCount val="15"/>
                <c:pt idx="0">
                  <c:v>3.4493934445239871</c:v>
                </c:pt>
                <c:pt idx="1">
                  <c:v>2.4638942094572691</c:v>
                </c:pt>
                <c:pt idx="2">
                  <c:v>1.9714569967004736</c:v>
                </c:pt>
                <c:pt idx="3">
                  <c:v>2.0782481361511227</c:v>
                </c:pt>
                <c:pt idx="4">
                  <c:v>1.1660936428055597</c:v>
                </c:pt>
                <c:pt idx="5">
                  <c:v>1.3579383025200575</c:v>
                </c:pt>
                <c:pt idx="6">
                  <c:v>1.1948711140289139</c:v>
                </c:pt>
                <c:pt idx="7">
                  <c:v>0.80468911006328547</c:v>
                </c:pt>
                <c:pt idx="8">
                  <c:v>0.78485193140860743</c:v>
                </c:pt>
                <c:pt idx="9">
                  <c:v>0.86632197678772616</c:v>
                </c:pt>
                <c:pt idx="10">
                  <c:v>1.2862360062178124E-2</c:v>
                </c:pt>
                <c:pt idx="11">
                  <c:v>-1.7387145659417257E-3</c:v>
                </c:pt>
                <c:pt idx="12">
                  <c:v>9.5072880844620455E-2</c:v>
                </c:pt>
                <c:pt idx="13">
                  <c:v>0.19386784578815514</c:v>
                </c:pt>
                <c:pt idx="14">
                  <c:v>0.39249197996423257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ser>
          <c:idx val="1"/>
          <c:order val="1"/>
          <c:tx>
            <c:strRef>
              <c:f>'Field Measurement'!$B$50</c:f>
              <c:strCache>
                <c:ptCount val="1"/>
                <c:pt idx="0">
                  <c:v>Field measurment 185°
(Average of Run 16 and 17)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12700">
                <a:solidFill>
                  <a:srgbClr val="00B050"/>
                </a:solidFill>
              </a:ln>
              <a:effectLst/>
            </c:spPr>
          </c:marker>
          <c:xVal>
            <c:numRef>
              <c:f>'Field Measurement'!$C$27:$Q$27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'Field Measurement'!$C$50:$Q$50</c:f>
              <c:numCache>
                <c:formatCode>#,##0.000;[Red]\-#,##0.000</c:formatCode>
                <c:ptCount val="15"/>
                <c:pt idx="0">
                  <c:v>3.5653228846054739</c:v>
                </c:pt>
                <c:pt idx="1">
                  <c:v>2.82108033110705</c:v>
                </c:pt>
                <c:pt idx="2">
                  <c:v>1.8688841065061184</c:v>
                </c:pt>
                <c:pt idx="3">
                  <c:v>1.8682347575457077</c:v>
                </c:pt>
                <c:pt idx="4">
                  <c:v>1.5313090145058563</c:v>
                </c:pt>
                <c:pt idx="5">
                  <c:v>1.5220987535713952</c:v>
                </c:pt>
                <c:pt idx="6">
                  <c:v>1.287865614928887</c:v>
                </c:pt>
                <c:pt idx="7">
                  <c:v>0.98333095442341023</c:v>
                </c:pt>
                <c:pt idx="8">
                  <c:v>0.92317001854990788</c:v>
                </c:pt>
                <c:pt idx="9">
                  <c:v>0.89096318678330788</c:v>
                </c:pt>
                <c:pt idx="10">
                  <c:v>1.6942689946683156E-2</c:v>
                </c:pt>
                <c:pt idx="11">
                  <c:v>5.810090343519014E-3</c:v>
                </c:pt>
                <c:pt idx="12">
                  <c:v>0.10196879855179578</c:v>
                </c:pt>
                <c:pt idx="13">
                  <c:v>0.22535415080102844</c:v>
                </c:pt>
                <c:pt idx="14">
                  <c:v>0.21126992758298391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sz="1400"/>
                  <a:t>C*</a:t>
                </a:r>
                <a:endParaRPr 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1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2900705694203896"/>
          <c:y val="1.3132821787811062E-2"/>
          <c:w val="0.82205626093525264"/>
          <c:h val="0.20081739920000638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ＭＳ ゴシック" panose="020B0609070205080204" pitchFamily="49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experiment'!$H$24:$H$38</c:f>
              <c:numCache>
                <c:formatCode>0.000</c:formatCode>
                <c:ptCount val="15"/>
                <c:pt idx="0">
                  <c:v>0.1860120089629578</c:v>
                </c:pt>
                <c:pt idx="1">
                  <c:v>-7.0178471395560535E-2</c:v>
                </c:pt>
                <c:pt idx="2">
                  <c:v>-5.974721658147189E-2</c:v>
                </c:pt>
                <c:pt idx="3">
                  <c:v>0.16075554933127933</c:v>
                </c:pt>
                <c:pt idx="4">
                  <c:v>2.9687609411105671E-2</c:v>
                </c:pt>
                <c:pt idx="5">
                  <c:v>0.13334806736222954</c:v>
                </c:pt>
                <c:pt idx="6">
                  <c:v>0.37875061270219174</c:v>
                </c:pt>
                <c:pt idx="7">
                  <c:v>0.54970546530355013</c:v>
                </c:pt>
                <c:pt idx="8">
                  <c:v>8.770831874518592E-2</c:v>
                </c:pt>
                <c:pt idx="9">
                  <c:v>7.9977330018906237E-2</c:v>
                </c:pt>
                <c:pt idx="10">
                  <c:v>6.0167355227224981E-2</c:v>
                </c:pt>
                <c:pt idx="11">
                  <c:v>0.44350666970100139</c:v>
                </c:pt>
                <c:pt idx="12">
                  <c:v>4.7221833204957639E-2</c:v>
                </c:pt>
                <c:pt idx="13">
                  <c:v>0.13745098382466214</c:v>
                </c:pt>
                <c:pt idx="14">
                  <c:v>0.30098557523982916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/>
                  <a:t>&lt;u&gt;/U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experiment'!$I$24:$I$38</c:f>
              <c:numCache>
                <c:formatCode>0.000</c:formatCode>
                <c:ptCount val="15"/>
                <c:pt idx="0">
                  <c:v>-0.25793230516070303</c:v>
                </c:pt>
                <c:pt idx="1">
                  <c:v>8.1852636370002105E-2</c:v>
                </c:pt>
                <c:pt idx="2">
                  <c:v>1.0868899236748128E-2</c:v>
                </c:pt>
                <c:pt idx="3">
                  <c:v>-8.2622890553882791E-2</c:v>
                </c:pt>
                <c:pt idx="4">
                  <c:v>-8.6491667250192569E-2</c:v>
                </c:pt>
                <c:pt idx="5">
                  <c:v>0.54173814858903435</c:v>
                </c:pt>
                <c:pt idx="6">
                  <c:v>9.0907499474826695E-2</c:v>
                </c:pt>
                <c:pt idx="7">
                  <c:v>-4.0088229115608203E-3</c:v>
                </c:pt>
                <c:pt idx="8">
                  <c:v>-9.200817519781529E-2</c:v>
                </c:pt>
                <c:pt idx="9">
                  <c:v>8.8688642251943135E-3</c:v>
                </c:pt>
                <c:pt idx="10">
                  <c:v>-0.12525821020936911</c:v>
                </c:pt>
                <c:pt idx="11">
                  <c:v>-1.9527694139065892E-2</c:v>
                </c:pt>
                <c:pt idx="12">
                  <c:v>3.2009313073314193E-2</c:v>
                </c:pt>
                <c:pt idx="13">
                  <c:v>3.0118689167425255E-2</c:v>
                </c:pt>
                <c:pt idx="14">
                  <c:v>-3.1716091310132345E-2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/>
                  <a:t>&lt;v&gt;/U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experiment'!$J$24:$J$38</c:f>
              <c:numCache>
                <c:formatCode>0.000</c:formatCode>
                <c:ptCount val="15"/>
                <c:pt idx="0">
                  <c:v>-2.745343463342903E-2</c:v>
                </c:pt>
                <c:pt idx="1">
                  <c:v>0.15908374763672012</c:v>
                </c:pt>
                <c:pt idx="2">
                  <c:v>2.6219277361529306E-2</c:v>
                </c:pt>
                <c:pt idx="3">
                  <c:v>-2.7363717526783838E-2</c:v>
                </c:pt>
                <c:pt idx="4">
                  <c:v>-2.9613209859253555E-2</c:v>
                </c:pt>
                <c:pt idx="5">
                  <c:v>0.13523650304600518</c:v>
                </c:pt>
                <c:pt idx="6">
                  <c:v>4.2118899236748129E-2</c:v>
                </c:pt>
                <c:pt idx="7">
                  <c:v>3.4326640291296132E-2</c:v>
                </c:pt>
                <c:pt idx="8">
                  <c:v>1.8118479098102373E-2</c:v>
                </c:pt>
                <c:pt idx="9">
                  <c:v>3.0438169595966669E-2</c:v>
                </c:pt>
                <c:pt idx="10">
                  <c:v>5.7003186051396964E-3</c:v>
                </c:pt>
                <c:pt idx="11">
                  <c:v>-6.6758280232476722E-2</c:v>
                </c:pt>
                <c:pt idx="12">
                  <c:v>7.2670856382606272E-2</c:v>
                </c:pt>
                <c:pt idx="13">
                  <c:v>-1.4135914851901128E-3</c:v>
                </c:pt>
                <c:pt idx="14">
                  <c:v>3.0503816259365591E-3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/>
                  <a:t>&lt;w&gt;/U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experiment'!$K$24:$K$38</c:f>
              <c:numCache>
                <c:formatCode>0.00</c:formatCode>
                <c:ptCount val="15"/>
                <c:pt idx="0">
                  <c:v>0.18868601638540722</c:v>
                </c:pt>
                <c:pt idx="1">
                  <c:v>9.2047563195854637E-2</c:v>
                </c:pt>
                <c:pt idx="2">
                  <c:v>5.3331349345283947E-2</c:v>
                </c:pt>
                <c:pt idx="3">
                  <c:v>0.20270814368741685</c:v>
                </c:pt>
                <c:pt idx="4">
                  <c:v>0.16874474826692809</c:v>
                </c:pt>
                <c:pt idx="5">
                  <c:v>0.11970450248582032</c:v>
                </c:pt>
                <c:pt idx="6">
                  <c:v>0.17640352566346895</c:v>
                </c:pt>
                <c:pt idx="7">
                  <c:v>0.203754113857573</c:v>
                </c:pt>
                <c:pt idx="8">
                  <c:v>0.16606198795602548</c:v>
                </c:pt>
                <c:pt idx="9">
                  <c:v>0.10384645683075415</c:v>
                </c:pt>
                <c:pt idx="10">
                  <c:v>0.14758464043134234</c:v>
                </c:pt>
                <c:pt idx="11">
                  <c:v>0.17795497514179678</c:v>
                </c:pt>
                <c:pt idx="12">
                  <c:v>8.2520044114557808E-2</c:v>
                </c:pt>
                <c:pt idx="13">
                  <c:v>0.14432856592675583</c:v>
                </c:pt>
                <c:pt idx="14">
                  <c:v>0.16789134164274211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/>
                  <a:t>σu/U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experiment'!$M$24:$M$38</c:f>
              <c:numCache>
                <c:formatCode>0.00</c:formatCode>
                <c:ptCount val="15"/>
                <c:pt idx="0">
                  <c:v>0.12277676633288986</c:v>
                </c:pt>
                <c:pt idx="1">
                  <c:v>0.14237448357958127</c:v>
                </c:pt>
                <c:pt idx="2">
                  <c:v>5.4364190182760314E-2</c:v>
                </c:pt>
                <c:pt idx="3">
                  <c:v>0.10611783138435685</c:v>
                </c:pt>
                <c:pt idx="4">
                  <c:v>0.16493505356767735</c:v>
                </c:pt>
                <c:pt idx="5">
                  <c:v>0.10454012324066943</c:v>
                </c:pt>
                <c:pt idx="6">
                  <c:v>8.4150269588964363E-2</c:v>
                </c:pt>
                <c:pt idx="7">
                  <c:v>0.14409223793851972</c:v>
                </c:pt>
                <c:pt idx="8">
                  <c:v>0.10323375463903089</c:v>
                </c:pt>
                <c:pt idx="9">
                  <c:v>7.3038477697640228E-2</c:v>
                </c:pt>
                <c:pt idx="10">
                  <c:v>0.12439386247461663</c:v>
                </c:pt>
                <c:pt idx="11">
                  <c:v>0.11536088159092502</c:v>
                </c:pt>
                <c:pt idx="12">
                  <c:v>8.1629437714445766E-2</c:v>
                </c:pt>
                <c:pt idx="13">
                  <c:v>9.228826762831735E-2</c:v>
                </c:pt>
                <c:pt idx="14">
                  <c:v>8.3305615853231568E-2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 b="0" i="0" u="none" strike="noStrike" baseline="0">
                    <a:effectLst/>
                  </a:rPr>
                  <a:t>σw</a:t>
                </a:r>
                <a:r>
                  <a:rPr lang="en-US" altLang="ja-JP" sz="1400"/>
                  <a:t>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7734421366918"/>
          <c:y val="0.22970310109859546"/>
          <c:w val="0.82078642427657733"/>
          <c:h val="0.52105096648588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tunnel experiment'!$F$2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xVal>
            <c:numRef>
              <c:f>'Wind tunnel experiment'!$G$5:$G$19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'Wind tunnel experiment'!$L$24:$L$38</c:f>
              <c:numCache>
                <c:formatCode>0.00</c:formatCode>
                <c:ptCount val="15"/>
                <c:pt idx="0">
                  <c:v>0.15226962397591207</c:v>
                </c:pt>
                <c:pt idx="1">
                  <c:v>0.15623687066732023</c:v>
                </c:pt>
                <c:pt idx="2">
                  <c:v>0.11232581751978153</c:v>
                </c:pt>
                <c:pt idx="3">
                  <c:v>0.14890851480988726</c:v>
                </c:pt>
                <c:pt idx="4">
                  <c:v>0.18870789860654016</c:v>
                </c:pt>
                <c:pt idx="5">
                  <c:v>0.17072071283523563</c:v>
                </c:pt>
                <c:pt idx="6">
                  <c:v>9.5472130803165051E-2</c:v>
                </c:pt>
                <c:pt idx="7">
                  <c:v>0.12096710664519293</c:v>
                </c:pt>
                <c:pt idx="8">
                  <c:v>0.23245045865135494</c:v>
                </c:pt>
                <c:pt idx="9">
                  <c:v>0.11718804705552834</c:v>
                </c:pt>
                <c:pt idx="10">
                  <c:v>0.11965854982144108</c:v>
                </c:pt>
                <c:pt idx="11">
                  <c:v>0.18667941670751351</c:v>
                </c:pt>
                <c:pt idx="12">
                  <c:v>8.8040928506407115E-2</c:v>
                </c:pt>
                <c:pt idx="13">
                  <c:v>0.15382326167635321</c:v>
                </c:pt>
                <c:pt idx="14">
                  <c:v>0.16438580981723969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4D5-42B9-B1E4-4101E5A0D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02944"/>
        <c:axId val="210834176"/>
        <c:extLst/>
      </c:scatterChart>
      <c:valAx>
        <c:axId val="210802944"/>
        <c:scaling>
          <c:orientation val="minMax"/>
          <c:max val="1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defRPr>
                </a:pPr>
                <a:r>
                  <a:rPr lang="en-US" altLang="ja-JP" sz="140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Measurement</a:t>
                </a:r>
                <a:r>
                  <a:rPr lang="en-US" altLang="ja-JP" sz="1400" baseline="0">
                    <a:latin typeface="Times New Roman" panose="02020603050405020304" pitchFamily="18" charset="0"/>
                    <a:ea typeface="ＭＳ ゴシック" panose="020B0609070205080204" pitchFamily="49" charset="-128"/>
                    <a:cs typeface="Times New Roman" panose="02020603050405020304" pitchFamily="18" charset="0"/>
                  </a:rPr>
                  <a:t> Point</a:t>
                </a:r>
                <a:endParaRPr lang="ja-JP" sz="1400"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ゴシック" panose="020B0609070205080204" pitchFamily="49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34176"/>
        <c:crosses val="autoZero"/>
        <c:crossBetween val="midCat"/>
        <c:majorUnit val="1"/>
      </c:valAx>
      <c:valAx>
        <c:axId val="210834176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 altLang="ja-JP" sz="1400" b="0" i="0" u="none" strike="noStrike" baseline="0">
                    <a:effectLst/>
                  </a:rPr>
                  <a:t>σ</a:t>
                </a:r>
                <a:r>
                  <a:rPr lang="en-US" altLang="ja-JP" sz="1400"/>
                  <a:t>v/U</a:t>
                </a:r>
                <a:r>
                  <a:rPr lang="en-US" altLang="ja-JP" sz="1400" baseline="-25000"/>
                  <a:t>H</a:t>
                </a:r>
                <a:endParaRPr lang="ja-JP" sz="1400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21080294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'Approaching flow'!$E$4:$E$43</c:f>
              <c:numCache>
                <c:formatCode>0.00</c:formatCode>
                <c:ptCount val="40"/>
                <c:pt idx="0">
                  <c:v>1.2281500000000001</c:v>
                </c:pt>
                <c:pt idx="1">
                  <c:v>1.40726</c:v>
                </c:pt>
                <c:pt idx="2">
                  <c:v>1.6807000000000001</c:v>
                </c:pt>
                <c:pt idx="3">
                  <c:v>2.0045199999999999</c:v>
                </c:pt>
                <c:pt idx="4">
                  <c:v>2.3358099999999999</c:v>
                </c:pt>
                <c:pt idx="5">
                  <c:v>2.6790699999999998</c:v>
                </c:pt>
                <c:pt idx="6">
                  <c:v>2.8357299999999999</c:v>
                </c:pt>
                <c:pt idx="7">
                  <c:v>3.0936699999999999</c:v>
                </c:pt>
                <c:pt idx="8">
                  <c:v>3.1536900000000001</c:v>
                </c:pt>
                <c:pt idx="9">
                  <c:v>3.11964</c:v>
                </c:pt>
                <c:pt idx="10">
                  <c:v>3.31833</c:v>
                </c:pt>
                <c:pt idx="11">
                  <c:v>3.5376599999999998</c:v>
                </c:pt>
                <c:pt idx="12">
                  <c:v>3.6788799999999999</c:v>
                </c:pt>
                <c:pt idx="13">
                  <c:v>3.74126</c:v>
                </c:pt>
                <c:pt idx="14">
                  <c:v>3.8282799999999999</c:v>
                </c:pt>
                <c:pt idx="15">
                  <c:v>3.9243600000000001</c:v>
                </c:pt>
                <c:pt idx="16">
                  <c:v>4.1132600000000004</c:v>
                </c:pt>
                <c:pt idx="17">
                  <c:v>4.2474400000000001</c:v>
                </c:pt>
                <c:pt idx="18">
                  <c:v>4.3574400000000004</c:v>
                </c:pt>
                <c:pt idx="19">
                  <c:v>4.3858899999999998</c:v>
                </c:pt>
                <c:pt idx="20">
                  <c:v>4.49498</c:v>
                </c:pt>
                <c:pt idx="21">
                  <c:v>4.6687700000000003</c:v>
                </c:pt>
                <c:pt idx="22">
                  <c:v>4.7039400000000002</c:v>
                </c:pt>
                <c:pt idx="23">
                  <c:v>4.90876</c:v>
                </c:pt>
                <c:pt idx="24">
                  <c:v>4.8822700000000001</c:v>
                </c:pt>
                <c:pt idx="25">
                  <c:v>4.9784100000000002</c:v>
                </c:pt>
                <c:pt idx="26">
                  <c:v>5.0944700000000003</c:v>
                </c:pt>
                <c:pt idx="27">
                  <c:v>5.2395800000000001</c:v>
                </c:pt>
                <c:pt idx="28">
                  <c:v>5.2900400000000003</c:v>
                </c:pt>
                <c:pt idx="29">
                  <c:v>5.3846100000000003</c:v>
                </c:pt>
                <c:pt idx="30">
                  <c:v>5.4337099999999996</c:v>
                </c:pt>
                <c:pt idx="31">
                  <c:v>5.4511099999999999</c:v>
                </c:pt>
                <c:pt idx="32">
                  <c:v>5.5777400000000004</c:v>
                </c:pt>
                <c:pt idx="33">
                  <c:v>5.6139900000000003</c:v>
                </c:pt>
                <c:pt idx="34">
                  <c:v>5.61334</c:v>
                </c:pt>
                <c:pt idx="35">
                  <c:v>5.7168299999999999</c:v>
                </c:pt>
                <c:pt idx="36">
                  <c:v>5.67136</c:v>
                </c:pt>
                <c:pt idx="37">
                  <c:v>5.6797800000000001</c:v>
                </c:pt>
                <c:pt idx="38">
                  <c:v>5.6581200000000003</c:v>
                </c:pt>
                <c:pt idx="39">
                  <c:v>5.6539200000000003</c:v>
                </c:pt>
              </c:numCache>
            </c:numRef>
          </c:xVal>
          <c:yVal>
            <c:numRef>
              <c:f>'Approaching flow'!$D$4:$D$43</c:f>
              <c:numCache>
                <c:formatCode>General</c:formatCode>
                <c:ptCount val="4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0.24</c:v>
                </c:pt>
                <c:pt idx="22">
                  <c:v>0.26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0.32</c:v>
                </c:pt>
                <c:pt idx="26">
                  <c:v>0.34</c:v>
                </c:pt>
                <c:pt idx="27">
                  <c:v>0.36</c:v>
                </c:pt>
                <c:pt idx="28">
                  <c:v>0.38</c:v>
                </c:pt>
                <c:pt idx="29">
                  <c:v>0.4</c:v>
                </c:pt>
                <c:pt idx="30">
                  <c:v>0.42</c:v>
                </c:pt>
                <c:pt idx="31">
                  <c:v>0.44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0.57999999999999996</c:v>
                </c:pt>
                <c:pt idx="3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7-4010-9DA8-1FF3824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13032"/>
        <c:axId val="762439496"/>
      </c:scatterChart>
      <c:valAx>
        <c:axId val="67481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&lt;u&gt;</a:t>
                </a:r>
                <a:r>
                  <a:rPr lang="en-US" baseline="0"/>
                  <a:t> [m/s]</a:t>
                </a:r>
                <a:endParaRPr lang="ja-JP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62439496"/>
        <c:crosses val="autoZero"/>
        <c:crossBetween val="midCat"/>
      </c:valAx>
      <c:valAx>
        <c:axId val="762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Z</a:t>
                </a:r>
                <a:r>
                  <a:rPr lang="en-US" baseline="0"/>
                  <a:t> [m]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74813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'Approaching flow'!$H$4:$H$43</c:f>
              <c:numCache>
                <c:formatCode>0.00</c:formatCode>
                <c:ptCount val="40"/>
                <c:pt idx="0">
                  <c:v>0.61358999999999997</c:v>
                </c:pt>
                <c:pt idx="1">
                  <c:v>0.65559999999999996</c:v>
                </c:pt>
                <c:pt idx="2">
                  <c:v>0.71899999999999997</c:v>
                </c:pt>
                <c:pt idx="3">
                  <c:v>0.79305000000000003</c:v>
                </c:pt>
                <c:pt idx="4">
                  <c:v>0.85</c:v>
                </c:pt>
                <c:pt idx="5">
                  <c:v>0.90720999999999996</c:v>
                </c:pt>
                <c:pt idx="6">
                  <c:v>0.87439</c:v>
                </c:pt>
                <c:pt idx="7">
                  <c:v>0.85512999999999995</c:v>
                </c:pt>
                <c:pt idx="8">
                  <c:v>0.85529999999999995</c:v>
                </c:pt>
                <c:pt idx="9">
                  <c:v>0.82345000000000002</c:v>
                </c:pt>
                <c:pt idx="10">
                  <c:v>0.81145999999999996</c:v>
                </c:pt>
                <c:pt idx="11">
                  <c:v>0.85753000000000001</c:v>
                </c:pt>
                <c:pt idx="12">
                  <c:v>0.80659999999999998</c:v>
                </c:pt>
                <c:pt idx="13">
                  <c:v>0.85485999999999995</c:v>
                </c:pt>
                <c:pt idx="14">
                  <c:v>0.80513000000000001</c:v>
                </c:pt>
                <c:pt idx="15">
                  <c:v>0.84211000000000003</c:v>
                </c:pt>
                <c:pt idx="16">
                  <c:v>0.84450999999999998</c:v>
                </c:pt>
                <c:pt idx="17">
                  <c:v>0.81645000000000001</c:v>
                </c:pt>
                <c:pt idx="18">
                  <c:v>0.85048999999999997</c:v>
                </c:pt>
                <c:pt idx="19">
                  <c:v>0.84216999999999997</c:v>
                </c:pt>
                <c:pt idx="20">
                  <c:v>0.84677000000000002</c:v>
                </c:pt>
                <c:pt idx="21">
                  <c:v>0.80533999999999994</c:v>
                </c:pt>
                <c:pt idx="22">
                  <c:v>0.84404999999999997</c:v>
                </c:pt>
                <c:pt idx="23">
                  <c:v>0.81508999999999998</c:v>
                </c:pt>
                <c:pt idx="24">
                  <c:v>0.79764000000000002</c:v>
                </c:pt>
                <c:pt idx="25">
                  <c:v>0.80891000000000002</c:v>
                </c:pt>
                <c:pt idx="26">
                  <c:v>0.81754000000000004</c:v>
                </c:pt>
                <c:pt idx="27">
                  <c:v>0.74075999999999997</c:v>
                </c:pt>
                <c:pt idx="28">
                  <c:v>0.75224000000000002</c:v>
                </c:pt>
                <c:pt idx="29">
                  <c:v>0.72099999999999997</c:v>
                </c:pt>
                <c:pt idx="30">
                  <c:v>0.70104999999999995</c:v>
                </c:pt>
                <c:pt idx="31">
                  <c:v>0.66678999999999999</c:v>
                </c:pt>
                <c:pt idx="32">
                  <c:v>0.63800999999999997</c:v>
                </c:pt>
                <c:pt idx="33">
                  <c:v>0.59977000000000003</c:v>
                </c:pt>
                <c:pt idx="34">
                  <c:v>0.59075</c:v>
                </c:pt>
                <c:pt idx="35">
                  <c:v>0.53527000000000002</c:v>
                </c:pt>
                <c:pt idx="36">
                  <c:v>0.57399</c:v>
                </c:pt>
                <c:pt idx="37">
                  <c:v>0.54340999999999995</c:v>
                </c:pt>
                <c:pt idx="38">
                  <c:v>0.52407999999999999</c:v>
                </c:pt>
                <c:pt idx="39">
                  <c:v>0.52534000000000003</c:v>
                </c:pt>
              </c:numCache>
            </c:numRef>
          </c:xVal>
          <c:yVal>
            <c:numRef>
              <c:f>'Approaching flow'!$D$4:$D$43</c:f>
              <c:numCache>
                <c:formatCode>General</c:formatCode>
                <c:ptCount val="4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0.24</c:v>
                </c:pt>
                <c:pt idx="22">
                  <c:v>0.26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0.32</c:v>
                </c:pt>
                <c:pt idx="26">
                  <c:v>0.34</c:v>
                </c:pt>
                <c:pt idx="27">
                  <c:v>0.36</c:v>
                </c:pt>
                <c:pt idx="28">
                  <c:v>0.38</c:v>
                </c:pt>
                <c:pt idx="29">
                  <c:v>0.4</c:v>
                </c:pt>
                <c:pt idx="30">
                  <c:v>0.42</c:v>
                </c:pt>
                <c:pt idx="31">
                  <c:v>0.44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0.57999999999999996</c:v>
                </c:pt>
                <c:pt idx="3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7-4010-9DA8-1FF3824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13032"/>
        <c:axId val="762439496"/>
      </c:scatterChart>
      <c:valAx>
        <c:axId val="67481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σu</a:t>
                </a:r>
                <a:r>
                  <a:rPr lang="en-US" altLang="ja-JP" baseline="0"/>
                  <a:t> [m/s]</a:t>
                </a:r>
                <a:endParaRPr lang="ja-JP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62439496"/>
        <c:crosses val="autoZero"/>
        <c:crossBetween val="midCat"/>
        <c:majorUnit val="0.25"/>
      </c:valAx>
      <c:valAx>
        <c:axId val="762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Z [m]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74813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'Approaching flow'!$I$4:$I$43</c:f>
              <c:numCache>
                <c:formatCode>0.00</c:formatCode>
                <c:ptCount val="40"/>
                <c:pt idx="0">
                  <c:v>0.71184999999999998</c:v>
                </c:pt>
                <c:pt idx="1">
                  <c:v>0.74492999999999998</c:v>
                </c:pt>
                <c:pt idx="2">
                  <c:v>0.75697000000000003</c:v>
                </c:pt>
                <c:pt idx="3">
                  <c:v>0.74429999999999996</c:v>
                </c:pt>
                <c:pt idx="4">
                  <c:v>0.73985000000000001</c:v>
                </c:pt>
                <c:pt idx="5">
                  <c:v>0.71740000000000004</c:v>
                </c:pt>
                <c:pt idx="6">
                  <c:v>0.70352000000000003</c:v>
                </c:pt>
                <c:pt idx="7">
                  <c:v>0.70631999999999995</c:v>
                </c:pt>
                <c:pt idx="8">
                  <c:v>0.66085000000000005</c:v>
                </c:pt>
                <c:pt idx="9">
                  <c:v>0.64095000000000002</c:v>
                </c:pt>
                <c:pt idx="10">
                  <c:v>0.64173000000000002</c:v>
                </c:pt>
                <c:pt idx="11">
                  <c:v>0.65119000000000005</c:v>
                </c:pt>
                <c:pt idx="12">
                  <c:v>0.67096999999999996</c:v>
                </c:pt>
                <c:pt idx="13">
                  <c:v>0.65185000000000004</c:v>
                </c:pt>
                <c:pt idx="14">
                  <c:v>0.63421000000000005</c:v>
                </c:pt>
                <c:pt idx="15">
                  <c:v>0.64834999999999998</c:v>
                </c:pt>
                <c:pt idx="16">
                  <c:v>0.63505</c:v>
                </c:pt>
                <c:pt idx="17">
                  <c:v>0.63214000000000004</c:v>
                </c:pt>
                <c:pt idx="18">
                  <c:v>0.61738000000000004</c:v>
                </c:pt>
                <c:pt idx="19">
                  <c:v>0.61026999999999998</c:v>
                </c:pt>
                <c:pt idx="20">
                  <c:v>0.61636999999999997</c:v>
                </c:pt>
                <c:pt idx="21">
                  <c:v>0.61456</c:v>
                </c:pt>
                <c:pt idx="22">
                  <c:v>0.59453999999999996</c:v>
                </c:pt>
                <c:pt idx="23">
                  <c:v>0.56083000000000005</c:v>
                </c:pt>
                <c:pt idx="24">
                  <c:v>0.58192999999999995</c:v>
                </c:pt>
                <c:pt idx="25">
                  <c:v>0.55098000000000003</c:v>
                </c:pt>
                <c:pt idx="26">
                  <c:v>0.55896000000000001</c:v>
                </c:pt>
                <c:pt idx="27">
                  <c:v>0.53815000000000002</c:v>
                </c:pt>
                <c:pt idx="28">
                  <c:v>0.50466999999999995</c:v>
                </c:pt>
                <c:pt idx="29">
                  <c:v>0.50980000000000003</c:v>
                </c:pt>
                <c:pt idx="30">
                  <c:v>0.51268999999999998</c:v>
                </c:pt>
                <c:pt idx="31">
                  <c:v>0.49914999999999998</c:v>
                </c:pt>
                <c:pt idx="32">
                  <c:v>0.45709</c:v>
                </c:pt>
                <c:pt idx="33">
                  <c:v>0.44933000000000001</c:v>
                </c:pt>
                <c:pt idx="34">
                  <c:v>0.44766</c:v>
                </c:pt>
                <c:pt idx="35">
                  <c:v>0.42681999999999998</c:v>
                </c:pt>
                <c:pt idx="36">
                  <c:v>0.43354999999999999</c:v>
                </c:pt>
                <c:pt idx="37">
                  <c:v>0.43173</c:v>
                </c:pt>
                <c:pt idx="38">
                  <c:v>0.41215000000000002</c:v>
                </c:pt>
                <c:pt idx="39">
                  <c:v>0.41932000000000003</c:v>
                </c:pt>
              </c:numCache>
            </c:numRef>
          </c:xVal>
          <c:yVal>
            <c:numRef>
              <c:f>'Approaching flow'!$D$4:$D$43</c:f>
              <c:numCache>
                <c:formatCode>General</c:formatCode>
                <c:ptCount val="4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0.24</c:v>
                </c:pt>
                <c:pt idx="22">
                  <c:v>0.26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0.32</c:v>
                </c:pt>
                <c:pt idx="26">
                  <c:v>0.34</c:v>
                </c:pt>
                <c:pt idx="27">
                  <c:v>0.36</c:v>
                </c:pt>
                <c:pt idx="28">
                  <c:v>0.38</c:v>
                </c:pt>
                <c:pt idx="29">
                  <c:v>0.4</c:v>
                </c:pt>
                <c:pt idx="30">
                  <c:v>0.42</c:v>
                </c:pt>
                <c:pt idx="31">
                  <c:v>0.44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0.57999999999999996</c:v>
                </c:pt>
                <c:pt idx="3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7-4010-9DA8-1FF3824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13032"/>
        <c:axId val="762439496"/>
      </c:scatterChart>
      <c:valAx>
        <c:axId val="674813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σ</a:t>
                </a:r>
                <a:r>
                  <a:rPr lang="en-US"/>
                  <a:t>v [m/s]</a:t>
                </a:r>
                <a:endParaRPr lang="ja-JP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62439496"/>
        <c:crosses val="autoZero"/>
        <c:crossBetween val="midCat"/>
        <c:majorUnit val="0.25"/>
      </c:valAx>
      <c:valAx>
        <c:axId val="762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Z [m]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74813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'Approaching flow'!$J$4:$J$43</c:f>
              <c:numCache>
                <c:formatCode>0.00</c:formatCode>
                <c:ptCount val="40"/>
                <c:pt idx="0">
                  <c:v>0.33189000000000002</c:v>
                </c:pt>
                <c:pt idx="1">
                  <c:v>0.46206999999999998</c:v>
                </c:pt>
                <c:pt idx="2">
                  <c:v>0.53513999999999995</c:v>
                </c:pt>
                <c:pt idx="3">
                  <c:v>0.55395000000000005</c:v>
                </c:pt>
                <c:pt idx="4">
                  <c:v>0.54795000000000005</c:v>
                </c:pt>
                <c:pt idx="5">
                  <c:v>0.49275000000000002</c:v>
                </c:pt>
                <c:pt idx="6">
                  <c:v>0.45329999999999998</c:v>
                </c:pt>
                <c:pt idx="7">
                  <c:v>0.41776000000000002</c:v>
                </c:pt>
                <c:pt idx="8">
                  <c:v>0.40432000000000001</c:v>
                </c:pt>
                <c:pt idx="9">
                  <c:v>0.41286</c:v>
                </c:pt>
                <c:pt idx="10">
                  <c:v>0.43008999999999997</c:v>
                </c:pt>
                <c:pt idx="11">
                  <c:v>0.45524999999999999</c:v>
                </c:pt>
                <c:pt idx="12">
                  <c:v>0.46381</c:v>
                </c:pt>
                <c:pt idx="13">
                  <c:v>0.46426000000000001</c:v>
                </c:pt>
                <c:pt idx="14">
                  <c:v>0.47738999999999998</c:v>
                </c:pt>
                <c:pt idx="15">
                  <c:v>0.48107</c:v>
                </c:pt>
                <c:pt idx="16">
                  <c:v>0.49481999999999998</c:v>
                </c:pt>
                <c:pt idx="17">
                  <c:v>0.51895999999999998</c:v>
                </c:pt>
                <c:pt idx="18">
                  <c:v>0.51800000000000002</c:v>
                </c:pt>
                <c:pt idx="19">
                  <c:v>0.54737000000000002</c:v>
                </c:pt>
                <c:pt idx="20">
                  <c:v>0.52498999999999996</c:v>
                </c:pt>
                <c:pt idx="21">
                  <c:v>0.52846000000000004</c:v>
                </c:pt>
                <c:pt idx="22">
                  <c:v>0.52490000000000003</c:v>
                </c:pt>
                <c:pt idx="23">
                  <c:v>0.52173000000000003</c:v>
                </c:pt>
                <c:pt idx="24">
                  <c:v>0.53805000000000003</c:v>
                </c:pt>
                <c:pt idx="25">
                  <c:v>0.50917999999999997</c:v>
                </c:pt>
                <c:pt idx="26">
                  <c:v>0.51244000000000001</c:v>
                </c:pt>
                <c:pt idx="27">
                  <c:v>0.48529</c:v>
                </c:pt>
                <c:pt idx="28">
                  <c:v>0.47432999999999997</c:v>
                </c:pt>
                <c:pt idx="29">
                  <c:v>0.48168</c:v>
                </c:pt>
                <c:pt idx="30">
                  <c:v>0.47086</c:v>
                </c:pt>
                <c:pt idx="31">
                  <c:v>0.47254000000000002</c:v>
                </c:pt>
                <c:pt idx="32">
                  <c:v>0.48820999999999998</c:v>
                </c:pt>
                <c:pt idx="33">
                  <c:v>0.46425</c:v>
                </c:pt>
                <c:pt idx="34">
                  <c:v>0.45973999999999998</c:v>
                </c:pt>
                <c:pt idx="35">
                  <c:v>0.46034000000000003</c:v>
                </c:pt>
                <c:pt idx="36">
                  <c:v>0.46257999999999999</c:v>
                </c:pt>
                <c:pt idx="37">
                  <c:v>0.44684000000000001</c:v>
                </c:pt>
                <c:pt idx="38">
                  <c:v>0.43853999999999999</c:v>
                </c:pt>
                <c:pt idx="39">
                  <c:v>0.43540000000000001</c:v>
                </c:pt>
              </c:numCache>
            </c:numRef>
          </c:xVal>
          <c:yVal>
            <c:numRef>
              <c:f>'Approaching flow'!$D$4:$D$43</c:f>
              <c:numCache>
                <c:formatCode>General</c:formatCode>
                <c:ptCount val="4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0.24</c:v>
                </c:pt>
                <c:pt idx="22">
                  <c:v>0.26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0.32</c:v>
                </c:pt>
                <c:pt idx="26">
                  <c:v>0.34</c:v>
                </c:pt>
                <c:pt idx="27">
                  <c:v>0.36</c:v>
                </c:pt>
                <c:pt idx="28">
                  <c:v>0.38</c:v>
                </c:pt>
                <c:pt idx="29">
                  <c:v>0.4</c:v>
                </c:pt>
                <c:pt idx="30">
                  <c:v>0.42</c:v>
                </c:pt>
                <c:pt idx="31">
                  <c:v>0.44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0.57999999999999996</c:v>
                </c:pt>
                <c:pt idx="3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7-4010-9DA8-1FF3824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13032"/>
        <c:axId val="762439496"/>
      </c:scatterChart>
      <c:valAx>
        <c:axId val="674813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σw</a:t>
                </a:r>
                <a:r>
                  <a:rPr lang="en-US" altLang="ja-JP" baseline="0"/>
                  <a:t> [m/s]</a:t>
                </a:r>
                <a:endParaRPr lang="ja-JP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62439496"/>
        <c:crosses val="autoZero"/>
        <c:crossBetween val="midCat"/>
        <c:majorUnit val="0.25"/>
      </c:valAx>
      <c:valAx>
        <c:axId val="762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Z</a:t>
                </a:r>
                <a:r>
                  <a:rPr lang="en-US" baseline="0"/>
                  <a:t> [m]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74813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'Approaching flow'!$K$4:$K$43</c:f>
              <c:numCache>
                <c:formatCode>0.00</c:formatCode>
                <c:ptCount val="40"/>
                <c:pt idx="0">
                  <c:v>-1.8509999999999999E-2</c:v>
                </c:pt>
                <c:pt idx="1">
                  <c:v>-2.5319999999999999E-2</c:v>
                </c:pt>
                <c:pt idx="2">
                  <c:v>-6.4829999999999999E-2</c:v>
                </c:pt>
                <c:pt idx="3">
                  <c:v>-0.11565</c:v>
                </c:pt>
                <c:pt idx="4">
                  <c:v>-0.17741000000000001</c:v>
                </c:pt>
                <c:pt idx="5">
                  <c:v>-0.21446999999999999</c:v>
                </c:pt>
                <c:pt idx="6">
                  <c:v>-0.18794</c:v>
                </c:pt>
                <c:pt idx="7">
                  <c:v>-0.16116</c:v>
                </c:pt>
                <c:pt idx="8">
                  <c:v>-0.15379000000000001</c:v>
                </c:pt>
                <c:pt idx="9">
                  <c:v>-0.16267000000000001</c:v>
                </c:pt>
                <c:pt idx="10">
                  <c:v>-0.15501999999999999</c:v>
                </c:pt>
                <c:pt idx="11">
                  <c:v>-0.17868999999999999</c:v>
                </c:pt>
                <c:pt idx="12">
                  <c:v>-0.17172999999999999</c:v>
                </c:pt>
                <c:pt idx="13">
                  <c:v>-0.16672999999999999</c:v>
                </c:pt>
                <c:pt idx="14">
                  <c:v>-0.16897000000000001</c:v>
                </c:pt>
                <c:pt idx="15">
                  <c:v>-0.1888</c:v>
                </c:pt>
                <c:pt idx="16">
                  <c:v>-0.19764999999999999</c:v>
                </c:pt>
                <c:pt idx="17">
                  <c:v>-0.22824</c:v>
                </c:pt>
                <c:pt idx="18">
                  <c:v>-0.21031</c:v>
                </c:pt>
                <c:pt idx="19">
                  <c:v>-0.26062000000000002</c:v>
                </c:pt>
                <c:pt idx="20">
                  <c:v>-0.24318000000000001</c:v>
                </c:pt>
                <c:pt idx="21">
                  <c:v>-0.25657000000000002</c:v>
                </c:pt>
                <c:pt idx="22">
                  <c:v>-0.23955000000000001</c:v>
                </c:pt>
                <c:pt idx="23">
                  <c:v>-0.22986999999999999</c:v>
                </c:pt>
                <c:pt idx="24">
                  <c:v>-0.25074999999999997</c:v>
                </c:pt>
                <c:pt idx="25">
                  <c:v>-0.21712000000000001</c:v>
                </c:pt>
                <c:pt idx="26">
                  <c:v>-0.22993</c:v>
                </c:pt>
                <c:pt idx="27">
                  <c:v>-0.20363000000000001</c:v>
                </c:pt>
                <c:pt idx="28">
                  <c:v>-0.18529999999999999</c:v>
                </c:pt>
                <c:pt idx="29">
                  <c:v>-0.19678999999999999</c:v>
                </c:pt>
                <c:pt idx="30">
                  <c:v>-0.17352999999999999</c:v>
                </c:pt>
                <c:pt idx="31">
                  <c:v>-0.17990999999999999</c:v>
                </c:pt>
                <c:pt idx="32">
                  <c:v>-0.16964000000000001</c:v>
                </c:pt>
                <c:pt idx="33">
                  <c:v>-0.13316</c:v>
                </c:pt>
                <c:pt idx="34">
                  <c:v>-0.13124</c:v>
                </c:pt>
                <c:pt idx="35">
                  <c:v>-0.1086</c:v>
                </c:pt>
                <c:pt idx="36">
                  <c:v>-0.11423999999999999</c:v>
                </c:pt>
                <c:pt idx="37">
                  <c:v>-6.4009999999999997E-2</c:v>
                </c:pt>
                <c:pt idx="38">
                  <c:v>-5.5210000000000002E-2</c:v>
                </c:pt>
                <c:pt idx="39">
                  <c:v>-4.7550000000000002E-2</c:v>
                </c:pt>
              </c:numCache>
            </c:numRef>
          </c:xVal>
          <c:yVal>
            <c:numRef>
              <c:f>'Approaching flow'!$D$4:$D$43</c:f>
              <c:numCache>
                <c:formatCode>General</c:formatCode>
                <c:ptCount val="4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0.24</c:v>
                </c:pt>
                <c:pt idx="22">
                  <c:v>0.26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0.32</c:v>
                </c:pt>
                <c:pt idx="26">
                  <c:v>0.34</c:v>
                </c:pt>
                <c:pt idx="27">
                  <c:v>0.36</c:v>
                </c:pt>
                <c:pt idx="28">
                  <c:v>0.38</c:v>
                </c:pt>
                <c:pt idx="29">
                  <c:v>0.4</c:v>
                </c:pt>
                <c:pt idx="30">
                  <c:v>0.42</c:v>
                </c:pt>
                <c:pt idx="31">
                  <c:v>0.44</c:v>
                </c:pt>
                <c:pt idx="32">
                  <c:v>0.46</c:v>
                </c:pt>
                <c:pt idx="33">
                  <c:v>0.48</c:v>
                </c:pt>
                <c:pt idx="34">
                  <c:v>0.5</c:v>
                </c:pt>
                <c:pt idx="35">
                  <c:v>0.52</c:v>
                </c:pt>
                <c:pt idx="36">
                  <c:v>0.54</c:v>
                </c:pt>
                <c:pt idx="37">
                  <c:v>0.56000000000000005</c:v>
                </c:pt>
                <c:pt idx="38">
                  <c:v>0.57999999999999996</c:v>
                </c:pt>
                <c:pt idx="3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7-4010-9DA8-1FF3824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13032"/>
        <c:axId val="762439496"/>
      </c:scatterChart>
      <c:valAx>
        <c:axId val="674813032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u'w'</a:t>
                </a:r>
                <a:r>
                  <a:rPr lang="en-US" baseline="0"/>
                  <a:t> [m</a:t>
                </a:r>
                <a:r>
                  <a:rPr lang="en-US" baseline="30000"/>
                  <a:t>2</a:t>
                </a:r>
                <a:r>
                  <a:rPr lang="en-US" baseline="0"/>
                  <a:t>/s</a:t>
                </a:r>
                <a:r>
                  <a:rPr lang="en-US" baseline="30000"/>
                  <a:t>2</a:t>
                </a:r>
                <a:r>
                  <a:rPr lang="en-US" baseline="0"/>
                  <a:t>]</a:t>
                </a:r>
                <a:endParaRPr lang="ja-JP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62439496"/>
        <c:crosses val="autoZero"/>
        <c:crossBetween val="midCat"/>
      </c:valAx>
      <c:valAx>
        <c:axId val="76243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Z</a:t>
                </a:r>
                <a:r>
                  <a:rPr lang="en-US" baseline="0"/>
                  <a:t> [m]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748130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161636</xdr:colOff>
      <xdr:row>1</xdr:row>
      <xdr:rowOff>34636</xdr:rowOff>
    </xdr:from>
    <xdr:to>
      <xdr:col>17</xdr:col>
      <xdr:colOff>139486</xdr:colOff>
      <xdr:row>28</xdr:row>
      <xdr:rowOff>230908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E2FE469-D867-4280-75AE-5FA5B462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091" y="265545"/>
          <a:ext cx="7874940" cy="736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392339</xdr:colOff>
      <xdr:row>3</xdr:row>
      <xdr:rowOff>83416</xdr:rowOff>
    </xdr:from>
    <xdr:to>
      <xdr:col>29</xdr:col>
      <xdr:colOff>143058</xdr:colOff>
      <xdr:row>16</xdr:row>
      <xdr:rowOff>46234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5925BF-E092-43A3-98DB-BEA88CFA6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250825</xdr:colOff>
      <xdr:row>3</xdr:row>
      <xdr:rowOff>35832</xdr:rowOff>
    </xdr:from>
    <xdr:to>
      <xdr:col>36</xdr:col>
      <xdr:colOff>326301</xdr:colOff>
      <xdr:row>15</xdr:row>
      <xdr:rowOff>227251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58B51DE-08FB-0F75-D6B0-7D5718007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506640</xdr:colOff>
      <xdr:row>2</xdr:row>
      <xdr:rowOff>137432</xdr:rowOff>
    </xdr:from>
    <xdr:to>
      <xdr:col>45</xdr:col>
      <xdr:colOff>186601</xdr:colOff>
      <xdr:row>15</xdr:row>
      <xdr:rowOff>100251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F08D821-F16C-4032-539E-3E224A062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424089</xdr:colOff>
      <xdr:row>16</xdr:row>
      <xdr:rowOff>155575</xdr:rowOff>
    </xdr:from>
    <xdr:to>
      <xdr:col>29</xdr:col>
      <xdr:colOff>174808</xdr:colOff>
      <xdr:row>29</xdr:row>
      <xdr:rowOff>118393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7419ACA-D0BA-D3D6-61BD-D199B179A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383020</xdr:colOff>
      <xdr:row>16</xdr:row>
      <xdr:rowOff>224848</xdr:rowOff>
    </xdr:from>
    <xdr:to>
      <xdr:col>36</xdr:col>
      <xdr:colOff>458167</xdr:colOff>
      <xdr:row>29</xdr:row>
      <xdr:rowOff>187666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F77FC12-11E7-3ABF-5EF3-B89F52C4B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439758</xdr:colOff>
      <xdr:row>16</xdr:row>
      <xdr:rowOff>167120</xdr:rowOff>
    </xdr:from>
    <xdr:to>
      <xdr:col>45</xdr:col>
      <xdr:colOff>128790</xdr:colOff>
      <xdr:row>29</xdr:row>
      <xdr:rowOff>129938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E698F29F-03D8-81CF-43BF-195050F42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424089</xdr:colOff>
      <xdr:row>30</xdr:row>
      <xdr:rowOff>155574</xdr:rowOff>
    </xdr:from>
    <xdr:to>
      <xdr:col>29</xdr:col>
      <xdr:colOff>174808</xdr:colOff>
      <xdr:row>43</xdr:row>
      <xdr:rowOff>118392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4E7DB64-7068-F22D-F56D-92DA3D05E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528824</xdr:colOff>
      <xdr:row>30</xdr:row>
      <xdr:rowOff>224681</xdr:rowOff>
    </xdr:from>
    <xdr:to>
      <xdr:col>45</xdr:col>
      <xdr:colOff>217856</xdr:colOff>
      <xdr:row>43</xdr:row>
      <xdr:rowOff>187499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DDAD29-59BE-C492-D9FA-760522DB1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348383</xdr:colOff>
      <xdr:row>30</xdr:row>
      <xdr:rowOff>223032</xdr:rowOff>
    </xdr:from>
    <xdr:to>
      <xdr:col>36</xdr:col>
      <xdr:colOff>423530</xdr:colOff>
      <xdr:row>43</xdr:row>
      <xdr:rowOff>183541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24271473-5262-290E-BD80-5E88A3FBD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70265</xdr:colOff>
      <xdr:row>3</xdr:row>
      <xdr:rowOff>32287</xdr:rowOff>
    </xdr:from>
    <xdr:to>
      <xdr:col>14</xdr:col>
      <xdr:colOff>363468</xdr:colOff>
      <xdr:row>14</xdr:row>
      <xdr:rowOff>97476</xdr:rowOff>
    </xdr:to>
    <xdr:graphicFrame macro="">
      <xdr:nvGraphicFramePr>
        <xdr:cNvPr id="22" name="グラフ 1">
          <a:extLst>
            <a:ext uri="{FF2B5EF4-FFF2-40B4-BE49-F238E27FC236}">
              <a16:creationId xmlns:a16="http://schemas.microsoft.com/office/drawing/2014/main" id="{99A4FF9E-7F80-74C2-0281-C011F8107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251695</xdr:colOff>
      <xdr:row>3</xdr:row>
      <xdr:rowOff>66390</xdr:rowOff>
    </xdr:from>
    <xdr:to>
      <xdr:col>16</xdr:col>
      <xdr:colOff>264509</xdr:colOff>
      <xdr:row>14</xdr:row>
      <xdr:rowOff>130316</xdr:rowOff>
    </xdr:to>
    <xdr:graphicFrame macro="">
      <xdr:nvGraphicFramePr>
        <xdr:cNvPr id="41" name="グラフ 6">
          <a:extLst>
            <a:ext uri="{FF2B5EF4-FFF2-40B4-BE49-F238E27FC236}">
              <a16:creationId xmlns:a16="http://schemas.microsoft.com/office/drawing/2014/main" id="{180DA310-B5B3-720E-F063-E0B117A19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256206</xdr:colOff>
      <xdr:row>3</xdr:row>
      <xdr:rowOff>90258</xdr:rowOff>
    </xdr:from>
    <xdr:to>
      <xdr:col>19</xdr:col>
      <xdr:colOff>552144</xdr:colOff>
      <xdr:row>14</xdr:row>
      <xdr:rowOff>156658</xdr:rowOff>
    </xdr:to>
    <xdr:graphicFrame macro="">
      <xdr:nvGraphicFramePr>
        <xdr:cNvPr id="28" name="グラフ 7">
          <a:extLst>
            <a:ext uri="{FF2B5EF4-FFF2-40B4-BE49-F238E27FC236}">
              <a16:creationId xmlns:a16="http://schemas.microsoft.com/office/drawing/2014/main" id="{8E0E5D70-2CE9-049F-5391-51C777789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92436</xdr:colOff>
      <xdr:row>14</xdr:row>
      <xdr:rowOff>182089</xdr:rowOff>
    </xdr:from>
    <xdr:to>
      <xdr:col>14</xdr:col>
      <xdr:colOff>385639</xdr:colOff>
      <xdr:row>26</xdr:row>
      <xdr:rowOff>21703</xdr:rowOff>
    </xdr:to>
    <xdr:graphicFrame macro="">
      <xdr:nvGraphicFramePr>
        <xdr:cNvPr id="34" name="グラフ 8">
          <a:extLst>
            <a:ext uri="{FF2B5EF4-FFF2-40B4-BE49-F238E27FC236}">
              <a16:creationId xmlns:a16="http://schemas.microsoft.com/office/drawing/2014/main" id="{A57750FA-DF9B-7655-509C-1C4EC507F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223173</xdr:colOff>
      <xdr:row>14</xdr:row>
      <xdr:rowOff>173602</xdr:rowOff>
    </xdr:from>
    <xdr:to>
      <xdr:col>16</xdr:col>
      <xdr:colOff>235987</xdr:colOff>
      <xdr:row>26</xdr:row>
      <xdr:rowOff>13216</xdr:rowOff>
    </xdr:to>
    <xdr:graphicFrame macro="">
      <xdr:nvGraphicFramePr>
        <xdr:cNvPr id="40" name="グラフ 9">
          <a:extLst>
            <a:ext uri="{FF2B5EF4-FFF2-40B4-BE49-F238E27FC236}">
              <a16:creationId xmlns:a16="http://schemas.microsoft.com/office/drawing/2014/main" id="{E3A5F16D-EDFD-CED4-EF55-7C894F291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1E35-2B3F-4663-B68B-DA23AA8C6167}">
  <dimension ref="O2:W23"/>
  <sheetViews>
    <sheetView tabSelected="1" zoomScale="85" zoomScaleNormal="85" workbookViewId="0">
      <selection activeCell="Y12" sqref="Y12"/>
    </sheetView>
  </sheetViews>
  <sheetFormatPr defaultRowHeight="18"/>
  <cols>
    <col min="19" max="19" width="16.609375" bestFit="1" customWidth="1"/>
  </cols>
  <sheetData>
    <row r="2" spans="19:23" ht="13.35" customHeight="1"/>
    <row r="3" spans="19:23" ht="77.849999999999994" customHeight="1">
      <c r="S3" s="127" t="s">
        <v>84</v>
      </c>
      <c r="T3" s="127"/>
      <c r="U3" s="127"/>
      <c r="V3" s="127"/>
    </row>
    <row r="4" spans="19:23">
      <c r="S4" s="125" t="s">
        <v>35</v>
      </c>
      <c r="T4" s="124" t="s">
        <v>37</v>
      </c>
      <c r="U4" s="124"/>
      <c r="V4" s="124"/>
    </row>
    <row r="5" spans="19:23">
      <c r="S5" s="126"/>
      <c r="T5" s="4" t="s">
        <v>36</v>
      </c>
      <c r="U5" s="4" t="s">
        <v>27</v>
      </c>
      <c r="V5" s="4" t="s">
        <v>28</v>
      </c>
    </row>
    <row r="6" spans="19:23" ht="28">
      <c r="S6" s="113" t="s">
        <v>79</v>
      </c>
      <c r="T6" s="110">
        <v>0</v>
      </c>
      <c r="U6" s="110">
        <v>0</v>
      </c>
      <c r="V6" s="119">
        <v>5.512222E-2</v>
      </c>
    </row>
    <row r="7" spans="19:23">
      <c r="S7" s="109">
        <v>1</v>
      </c>
      <c r="T7" s="114">
        <v>-5.7007160000000001E-2</v>
      </c>
      <c r="U7" s="114">
        <v>5.0894679999999998E-2</v>
      </c>
      <c r="V7" s="114">
        <v>5.9204960000000001E-2</v>
      </c>
      <c r="W7" s="128" t="s">
        <v>90</v>
      </c>
    </row>
    <row r="8" spans="19:23">
      <c r="S8" s="109">
        <v>2</v>
      </c>
      <c r="T8" s="114">
        <v>-3.974051E-2</v>
      </c>
      <c r="U8" s="114">
        <v>0.1187773</v>
      </c>
      <c r="V8" s="114">
        <v>5.9525979999999999E-2</v>
      </c>
      <c r="W8" s="129"/>
    </row>
    <row r="9" spans="19:23">
      <c r="S9" s="109">
        <v>3</v>
      </c>
      <c r="T9" s="114">
        <v>-6.4209820000000001E-2</v>
      </c>
      <c r="U9" s="114">
        <v>9.6940299999999997E-4</v>
      </c>
      <c r="V9" s="114">
        <v>5.8897350000000001E-2</v>
      </c>
      <c r="W9" s="129"/>
    </row>
    <row r="10" spans="19:23">
      <c r="S10" s="109">
        <v>4</v>
      </c>
      <c r="T10" s="114">
        <v>6.3367670000000001E-3</v>
      </c>
      <c r="U10" s="114">
        <v>3.0964040000000002E-2</v>
      </c>
      <c r="V10" s="114">
        <v>5.9194280000000002E-2</v>
      </c>
      <c r="W10" s="129"/>
    </row>
    <row r="11" spans="19:23">
      <c r="S11" s="109">
        <v>5</v>
      </c>
      <c r="T11" s="114">
        <v>4.313939E-2</v>
      </c>
      <c r="U11" s="114">
        <v>2.6524039999999999E-2</v>
      </c>
      <c r="V11" s="114">
        <v>5.920371E-2</v>
      </c>
      <c r="W11" s="129"/>
    </row>
    <row r="12" spans="19:23">
      <c r="S12" s="109">
        <v>6</v>
      </c>
      <c r="T12" s="114">
        <v>5.3992709999999999E-2</v>
      </c>
      <c r="U12" s="114">
        <v>9.8353300000000005E-2</v>
      </c>
      <c r="V12" s="114">
        <v>5.9881049999999998E-2</v>
      </c>
      <c r="W12" s="129"/>
    </row>
    <row r="13" spans="19:23">
      <c r="S13" s="109">
        <v>7</v>
      </c>
      <c r="T13" s="114">
        <v>5.4683379999999997E-2</v>
      </c>
      <c r="U13" s="114">
        <v>0.16051319999999999</v>
      </c>
      <c r="V13" s="114">
        <v>5.9632360000000002E-2</v>
      </c>
      <c r="W13" s="129"/>
    </row>
    <row r="14" spans="19:23">
      <c r="S14" s="109">
        <v>8</v>
      </c>
      <c r="T14" s="114">
        <v>7.6883350000000003E-2</v>
      </c>
      <c r="U14" s="114">
        <v>2.178805E-2</v>
      </c>
      <c r="V14" s="114">
        <v>5.9246220000000002E-2</v>
      </c>
      <c r="W14" s="129"/>
    </row>
    <row r="15" spans="19:23">
      <c r="S15" s="109">
        <v>9</v>
      </c>
      <c r="T15" s="114">
        <v>4.5606050000000002E-2</v>
      </c>
      <c r="U15" s="114">
        <v>-4.491055E-2</v>
      </c>
      <c r="V15" s="114">
        <v>5.9648119999999999E-2</v>
      </c>
      <c r="W15" s="129"/>
    </row>
    <row r="16" spans="19:23">
      <c r="S16" s="109">
        <v>10</v>
      </c>
      <c r="T16" s="114">
        <v>-4.4081839999999997E-2</v>
      </c>
      <c r="U16" s="114">
        <v>-4.6982540000000003E-2</v>
      </c>
      <c r="V16" s="114">
        <v>5.8158500000000002E-2</v>
      </c>
      <c r="W16" s="129"/>
    </row>
    <row r="17" spans="15:23">
      <c r="O17" s="14"/>
      <c r="S17" s="109">
        <v>11</v>
      </c>
      <c r="T17" s="114">
        <v>-1.0831210000000001E-2</v>
      </c>
      <c r="U17" s="114">
        <v>-0.12631049999999999</v>
      </c>
      <c r="V17" s="114">
        <v>5.8898449999999998E-2</v>
      </c>
      <c r="W17" s="129"/>
    </row>
    <row r="18" spans="15:23">
      <c r="S18" s="109">
        <v>12</v>
      </c>
      <c r="T18" s="114">
        <v>-0.15715370000000001</v>
      </c>
      <c r="U18" s="114">
        <v>-0.18856909999999999</v>
      </c>
      <c r="V18" s="114">
        <v>5.643575E-2</v>
      </c>
      <c r="W18" s="129"/>
    </row>
    <row r="19" spans="15:23">
      <c r="S19" s="109">
        <v>13</v>
      </c>
      <c r="T19" s="114">
        <v>0.1277953</v>
      </c>
      <c r="U19" s="114">
        <v>-0.14880640000000001</v>
      </c>
      <c r="V19" s="114">
        <v>5.9855279999999997E-2</v>
      </c>
      <c r="W19" s="129"/>
    </row>
    <row r="20" spans="15:23" ht="27.95" customHeight="1">
      <c r="S20" s="109">
        <v>14</v>
      </c>
      <c r="T20" s="114">
        <v>0.41757899999999998</v>
      </c>
      <c r="U20" s="114">
        <v>-0.1187131</v>
      </c>
      <c r="V20" s="114">
        <v>1.0999999999999999E-2</v>
      </c>
      <c r="W20" s="129"/>
    </row>
    <row r="21" spans="15:23">
      <c r="S21" s="109">
        <v>15</v>
      </c>
      <c r="T21" s="114">
        <v>0.46434690000000001</v>
      </c>
      <c r="U21" s="114">
        <v>1.409206E-2</v>
      </c>
      <c r="V21" s="114">
        <v>1.1484589999999999E-2</v>
      </c>
      <c r="W21" s="130"/>
    </row>
    <row r="22" spans="15:23">
      <c r="S22" s="110" t="s">
        <v>80</v>
      </c>
      <c r="T22" s="119">
        <v>-0.13688954</v>
      </c>
      <c r="U22" s="119">
        <v>0.10334126</v>
      </c>
      <c r="V22" s="119">
        <v>5.398766E-2</v>
      </c>
    </row>
    <row r="23" spans="15:23">
      <c r="S23" s="110" t="s">
        <v>77</v>
      </c>
      <c r="T23" s="114">
        <v>-0.111471101</v>
      </c>
      <c r="U23" s="114">
        <v>-6.233255E-3</v>
      </c>
      <c r="V23" s="114">
        <v>0.121503366</v>
      </c>
    </row>
  </sheetData>
  <sortState xmlns:xlrd2="http://schemas.microsoft.com/office/spreadsheetml/2017/richdata2" ref="O6:S20">
    <sortCondition ref="O6:O20"/>
  </sortState>
  <mergeCells count="4">
    <mergeCell ref="T4:V4"/>
    <mergeCell ref="S4:S5"/>
    <mergeCell ref="S3:V3"/>
    <mergeCell ref="W7:W2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ED0A-F246-40DB-A0C6-C80888B4BB77}">
  <dimension ref="B1:U50"/>
  <sheetViews>
    <sheetView zoomScale="70" zoomScaleNormal="70" workbookViewId="0"/>
  </sheetViews>
  <sheetFormatPr defaultRowHeight="18"/>
  <cols>
    <col min="2" max="2" width="25.88671875" style="2" bestFit="1" customWidth="1"/>
    <col min="3" max="17" width="6.609375" customWidth="1"/>
    <col min="18" max="18" width="10" customWidth="1"/>
    <col min="19" max="19" width="13.71875" bestFit="1" customWidth="1"/>
    <col min="20" max="20" width="14.21875" bestFit="1" customWidth="1"/>
    <col min="21" max="21" width="14.88671875" bestFit="1" customWidth="1"/>
    <col min="24" max="24" width="14.71875" bestFit="1" customWidth="1"/>
  </cols>
  <sheetData>
    <row r="1" spans="2:21" ht="19.350000000000001">
      <c r="B1" s="131" t="s">
        <v>58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</row>
    <row r="2" spans="2:21">
      <c r="B2" s="50"/>
      <c r="C2" s="124" t="s">
        <v>43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2:21"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>
        <v>7</v>
      </c>
      <c r="J3" s="9">
        <v>8</v>
      </c>
      <c r="K3" s="9">
        <v>9</v>
      </c>
      <c r="L3" s="9">
        <v>10</v>
      </c>
      <c r="M3" s="9">
        <v>11</v>
      </c>
      <c r="N3" s="9">
        <v>12</v>
      </c>
      <c r="O3" s="9">
        <v>13</v>
      </c>
      <c r="P3" s="9">
        <v>14</v>
      </c>
      <c r="Q3" s="9">
        <v>15</v>
      </c>
    </row>
    <row r="4" spans="2:21" ht="18" customHeight="1">
      <c r="B4" s="125" t="s">
        <v>42</v>
      </c>
      <c r="C4" s="135" t="s">
        <v>54</v>
      </c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28" t="s">
        <v>81</v>
      </c>
      <c r="S4" s="128" t="s">
        <v>53</v>
      </c>
      <c r="T4" s="133" t="s">
        <v>55</v>
      </c>
      <c r="U4" s="133" t="s">
        <v>56</v>
      </c>
    </row>
    <row r="5" spans="2:21" ht="29.1" customHeight="1" thickBot="1">
      <c r="B5" s="132"/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40"/>
      <c r="R5" s="145"/>
      <c r="S5" s="132"/>
      <c r="T5" s="134"/>
      <c r="U5" s="141"/>
    </row>
    <row r="6" spans="2:21" ht="18.350000000000001" thickTop="1">
      <c r="B6" s="51">
        <v>1</v>
      </c>
      <c r="C6" s="60">
        <v>515</v>
      </c>
      <c r="D6" s="61">
        <v>1552</v>
      </c>
      <c r="E6" s="61">
        <v>91</v>
      </c>
      <c r="F6" s="61">
        <v>55</v>
      </c>
      <c r="G6" s="61">
        <v>17</v>
      </c>
      <c r="H6" s="61">
        <v>23</v>
      </c>
      <c r="I6" s="61">
        <v>232</v>
      </c>
      <c r="J6" s="61">
        <v>14</v>
      </c>
      <c r="K6" s="61">
        <v>13</v>
      </c>
      <c r="L6" s="61">
        <v>13</v>
      </c>
      <c r="M6" s="61">
        <v>10</v>
      </c>
      <c r="N6" s="61">
        <v>9</v>
      </c>
      <c r="O6" s="61">
        <v>13</v>
      </c>
      <c r="P6" s="61">
        <v>13</v>
      </c>
      <c r="Q6" s="62">
        <v>11</v>
      </c>
      <c r="R6" s="146">
        <v>41</v>
      </c>
      <c r="S6" s="63">
        <v>1.4333333333333336</v>
      </c>
      <c r="T6" s="64">
        <v>132.6</v>
      </c>
      <c r="U6" s="65">
        <v>1.7488888888888901E-8</v>
      </c>
    </row>
    <row r="7" spans="2:21">
      <c r="B7" s="52">
        <v>2</v>
      </c>
      <c r="C7" s="66">
        <v>1114</v>
      </c>
      <c r="D7" s="67">
        <v>3147</v>
      </c>
      <c r="E7" s="67">
        <v>130</v>
      </c>
      <c r="F7" s="67">
        <v>68</v>
      </c>
      <c r="G7" s="67">
        <v>27</v>
      </c>
      <c r="H7" s="67">
        <v>198</v>
      </c>
      <c r="I7" s="67">
        <v>943</v>
      </c>
      <c r="J7" s="67">
        <v>5</v>
      </c>
      <c r="K7" s="67">
        <v>14</v>
      </c>
      <c r="L7" s="67">
        <v>27</v>
      </c>
      <c r="M7" s="67">
        <v>11</v>
      </c>
      <c r="N7" s="67">
        <v>9</v>
      </c>
      <c r="O7" s="67">
        <v>10</v>
      </c>
      <c r="P7" s="67">
        <v>11</v>
      </c>
      <c r="Q7" s="68">
        <v>10</v>
      </c>
      <c r="R7" s="147"/>
      <c r="S7" s="69">
        <v>1.4000000000000001</v>
      </c>
      <c r="T7" s="70">
        <v>144</v>
      </c>
      <c r="U7" s="71">
        <v>1.736666666666667E-8</v>
      </c>
    </row>
    <row r="8" spans="2:21">
      <c r="B8" s="52">
        <v>3</v>
      </c>
      <c r="C8" s="66">
        <v>4429</v>
      </c>
      <c r="D8" s="67">
        <v>3396</v>
      </c>
      <c r="E8" s="67">
        <v>2873</v>
      </c>
      <c r="F8" s="67">
        <v>1068</v>
      </c>
      <c r="G8" s="67">
        <v>476</v>
      </c>
      <c r="H8" s="67">
        <v>536</v>
      </c>
      <c r="I8" s="67">
        <v>693</v>
      </c>
      <c r="J8" s="67">
        <v>334</v>
      </c>
      <c r="K8" s="67">
        <v>463</v>
      </c>
      <c r="L8" s="67">
        <v>944</v>
      </c>
      <c r="M8" s="67">
        <v>33</v>
      </c>
      <c r="N8" s="67">
        <v>11</v>
      </c>
      <c r="O8" s="67">
        <v>45</v>
      </c>
      <c r="P8" s="67">
        <v>17</v>
      </c>
      <c r="Q8" s="68">
        <v>31</v>
      </c>
      <c r="R8" s="147"/>
      <c r="S8" s="69">
        <v>2.5</v>
      </c>
      <c r="T8" s="70">
        <v>175</v>
      </c>
      <c r="U8" s="71">
        <v>1.697777777777778E-8</v>
      </c>
    </row>
    <row r="9" spans="2:21">
      <c r="B9" s="52">
        <v>4</v>
      </c>
      <c r="C9" s="66">
        <v>1803</v>
      </c>
      <c r="D9" s="67">
        <v>2393</v>
      </c>
      <c r="E9" s="67">
        <v>2610</v>
      </c>
      <c r="F9" s="67">
        <v>594</v>
      </c>
      <c r="G9" s="67">
        <v>486</v>
      </c>
      <c r="H9" s="67">
        <v>500</v>
      </c>
      <c r="I9" s="67">
        <v>1026</v>
      </c>
      <c r="J9" s="67">
        <v>243</v>
      </c>
      <c r="K9" s="67">
        <v>271</v>
      </c>
      <c r="L9" s="67">
        <v>457</v>
      </c>
      <c r="M9" s="67">
        <v>18</v>
      </c>
      <c r="N9" s="67">
        <v>10</v>
      </c>
      <c r="O9" s="67">
        <v>34</v>
      </c>
      <c r="P9" s="67">
        <v>20</v>
      </c>
      <c r="Q9" s="68">
        <v>42</v>
      </c>
      <c r="R9" s="147"/>
      <c r="S9" s="69">
        <v>2.4333333333333331</v>
      </c>
      <c r="T9" s="70">
        <v>181.3</v>
      </c>
      <c r="U9" s="71">
        <v>1.6744444444444444E-8</v>
      </c>
    </row>
    <row r="10" spans="2:21">
      <c r="B10" s="53">
        <v>5</v>
      </c>
      <c r="C10" s="72">
        <v>4133</v>
      </c>
      <c r="D10" s="73">
        <v>3928</v>
      </c>
      <c r="E10" s="73">
        <v>2590</v>
      </c>
      <c r="F10" s="73">
        <v>1678</v>
      </c>
      <c r="G10" s="73">
        <v>993</v>
      </c>
      <c r="H10" s="73">
        <v>1051</v>
      </c>
      <c r="I10" s="73">
        <v>1501</v>
      </c>
      <c r="J10" s="73">
        <v>636</v>
      </c>
      <c r="K10" s="73">
        <v>582</v>
      </c>
      <c r="L10" s="73">
        <v>578</v>
      </c>
      <c r="M10" s="73">
        <v>13</v>
      </c>
      <c r="N10" s="73">
        <v>10</v>
      </c>
      <c r="O10" s="73">
        <v>34</v>
      </c>
      <c r="P10" s="73">
        <v>36</v>
      </c>
      <c r="Q10" s="74">
        <v>93</v>
      </c>
      <c r="R10" s="147"/>
      <c r="S10" s="75">
        <v>3.9666666666666668</v>
      </c>
      <c r="T10" s="76">
        <v>179.6</v>
      </c>
      <c r="U10" s="71">
        <v>1.6700000000000001E-8</v>
      </c>
    </row>
    <row r="11" spans="2:21">
      <c r="B11" s="53">
        <v>6</v>
      </c>
      <c r="C11" s="72">
        <v>3731</v>
      </c>
      <c r="D11" s="73">
        <v>3870</v>
      </c>
      <c r="E11" s="73">
        <v>2700</v>
      </c>
      <c r="F11" s="73">
        <v>1339</v>
      </c>
      <c r="G11" s="73">
        <v>973</v>
      </c>
      <c r="H11" s="73">
        <v>1105</v>
      </c>
      <c r="I11" s="73">
        <v>1733</v>
      </c>
      <c r="J11" s="73">
        <v>742</v>
      </c>
      <c r="K11" s="73">
        <v>471</v>
      </c>
      <c r="L11" s="73">
        <v>689</v>
      </c>
      <c r="M11" s="73">
        <v>14</v>
      </c>
      <c r="N11" s="73">
        <v>10</v>
      </c>
      <c r="O11" s="73">
        <v>43</v>
      </c>
      <c r="P11" s="73">
        <v>60</v>
      </c>
      <c r="Q11" s="74">
        <v>140</v>
      </c>
      <c r="R11" s="147"/>
      <c r="S11" s="75">
        <v>4.1000000000000005</v>
      </c>
      <c r="T11" s="76">
        <v>184.3</v>
      </c>
      <c r="U11" s="71">
        <v>1.6788888888888888E-8</v>
      </c>
    </row>
    <row r="12" spans="2:21">
      <c r="B12" s="53">
        <v>7</v>
      </c>
      <c r="C12" s="72">
        <v>1317</v>
      </c>
      <c r="D12" s="73">
        <v>3761</v>
      </c>
      <c r="E12" s="73">
        <v>2490</v>
      </c>
      <c r="F12" s="73">
        <v>2490</v>
      </c>
      <c r="G12" s="73">
        <v>1452</v>
      </c>
      <c r="H12" s="73">
        <v>1387</v>
      </c>
      <c r="I12" s="73">
        <v>1348</v>
      </c>
      <c r="J12" s="73">
        <v>991</v>
      </c>
      <c r="K12" s="73">
        <v>1192</v>
      </c>
      <c r="L12" s="73">
        <v>562</v>
      </c>
      <c r="M12" s="73">
        <v>52</v>
      </c>
      <c r="N12" s="73">
        <v>11</v>
      </c>
      <c r="O12" s="73">
        <v>203</v>
      </c>
      <c r="P12" s="73">
        <v>187</v>
      </c>
      <c r="Q12" s="74">
        <v>169</v>
      </c>
      <c r="R12" s="147"/>
      <c r="S12" s="75">
        <v>4.6333333333333329</v>
      </c>
      <c r="T12" s="76">
        <v>183.3</v>
      </c>
      <c r="U12" s="71">
        <v>1.6666666666666667E-8</v>
      </c>
    </row>
    <row r="13" spans="2:21">
      <c r="B13" s="53">
        <v>8</v>
      </c>
      <c r="C13" s="72">
        <v>4352</v>
      </c>
      <c r="D13" s="73">
        <v>2822</v>
      </c>
      <c r="E13" s="73">
        <v>1833</v>
      </c>
      <c r="F13" s="73">
        <v>1551</v>
      </c>
      <c r="G13" s="73">
        <v>1296</v>
      </c>
      <c r="H13" s="73">
        <v>1442</v>
      </c>
      <c r="I13" s="73">
        <v>1647</v>
      </c>
      <c r="J13" s="73">
        <v>1114</v>
      </c>
      <c r="K13" s="73">
        <v>482</v>
      </c>
      <c r="L13" s="73">
        <v>610</v>
      </c>
      <c r="M13" s="73">
        <v>12</v>
      </c>
      <c r="N13" s="73">
        <v>11</v>
      </c>
      <c r="O13" s="73">
        <v>41</v>
      </c>
      <c r="P13" s="73">
        <v>104</v>
      </c>
      <c r="Q13" s="74">
        <v>203</v>
      </c>
      <c r="R13" s="147"/>
      <c r="S13" s="75">
        <v>4.4333333333333327</v>
      </c>
      <c r="T13" s="76">
        <v>180.3</v>
      </c>
      <c r="U13" s="71">
        <v>1.6577777777777776E-8</v>
      </c>
    </row>
    <row r="14" spans="2:21">
      <c r="B14" s="53">
        <v>9</v>
      </c>
      <c r="C14" s="72">
        <v>317</v>
      </c>
      <c r="D14" s="73">
        <v>746</v>
      </c>
      <c r="E14" s="73">
        <v>64</v>
      </c>
      <c r="F14" s="73">
        <v>55</v>
      </c>
      <c r="G14" s="73">
        <v>62</v>
      </c>
      <c r="H14" s="73">
        <v>113</v>
      </c>
      <c r="I14" s="73">
        <v>332</v>
      </c>
      <c r="J14" s="73">
        <v>47</v>
      </c>
      <c r="K14" s="73">
        <v>18</v>
      </c>
      <c r="L14" s="73">
        <v>10</v>
      </c>
      <c r="M14" s="73">
        <v>9</v>
      </c>
      <c r="N14" s="73">
        <v>11</v>
      </c>
      <c r="O14" s="73">
        <v>8</v>
      </c>
      <c r="P14" s="73">
        <v>8</v>
      </c>
      <c r="Q14" s="74">
        <v>9</v>
      </c>
      <c r="R14" s="147"/>
      <c r="S14" s="75">
        <v>1.7666666666666666</v>
      </c>
      <c r="T14" s="76">
        <v>78</v>
      </c>
      <c r="U14" s="71">
        <v>1.7288888888888886E-8</v>
      </c>
    </row>
    <row r="15" spans="2:21">
      <c r="B15" s="53">
        <v>10</v>
      </c>
      <c r="C15" s="72">
        <v>402</v>
      </c>
      <c r="D15" s="73">
        <v>2122</v>
      </c>
      <c r="E15" s="73">
        <v>275</v>
      </c>
      <c r="F15" s="73">
        <v>139</v>
      </c>
      <c r="G15" s="73">
        <v>63</v>
      </c>
      <c r="H15" s="73">
        <v>143</v>
      </c>
      <c r="I15" s="73">
        <v>795</v>
      </c>
      <c r="J15" s="73">
        <v>47</v>
      </c>
      <c r="K15" s="73">
        <v>15</v>
      </c>
      <c r="L15" s="73">
        <v>15</v>
      </c>
      <c r="M15" s="73">
        <v>9</v>
      </c>
      <c r="N15" s="73">
        <v>10</v>
      </c>
      <c r="O15" s="73">
        <v>10</v>
      </c>
      <c r="P15" s="73">
        <v>10</v>
      </c>
      <c r="Q15" s="74">
        <v>12</v>
      </c>
      <c r="R15" s="147"/>
      <c r="S15" s="75">
        <v>2.4333333333333336</v>
      </c>
      <c r="T15" s="76">
        <v>115.66666666666667</v>
      </c>
      <c r="U15" s="71">
        <v>1.7133333333333335E-8</v>
      </c>
    </row>
    <row r="16" spans="2:21">
      <c r="B16" s="53">
        <v>11</v>
      </c>
      <c r="C16" s="72">
        <v>3139</v>
      </c>
      <c r="D16" s="73">
        <v>2875</v>
      </c>
      <c r="E16" s="73">
        <v>2605</v>
      </c>
      <c r="F16" s="73">
        <v>1582</v>
      </c>
      <c r="G16" s="73">
        <v>805</v>
      </c>
      <c r="H16" s="73">
        <v>491</v>
      </c>
      <c r="I16" s="73">
        <v>1321</v>
      </c>
      <c r="J16" s="73">
        <v>474</v>
      </c>
      <c r="K16" s="73">
        <v>751</v>
      </c>
      <c r="L16" s="73">
        <v>402</v>
      </c>
      <c r="M16" s="73">
        <v>17</v>
      </c>
      <c r="N16" s="73">
        <v>10</v>
      </c>
      <c r="O16" s="73">
        <v>112</v>
      </c>
      <c r="P16" s="73">
        <v>29</v>
      </c>
      <c r="Q16" s="74">
        <v>37</v>
      </c>
      <c r="R16" s="147"/>
      <c r="S16" s="75">
        <v>3.5</v>
      </c>
      <c r="T16" s="76">
        <v>173.66666666666666</v>
      </c>
      <c r="U16" s="71">
        <v>1.6766666666666668E-8</v>
      </c>
    </row>
    <row r="17" spans="2:21">
      <c r="B17" s="53">
        <v>12</v>
      </c>
      <c r="C17" s="72">
        <v>3598</v>
      </c>
      <c r="D17" s="73">
        <v>3242</v>
      </c>
      <c r="E17" s="73">
        <v>1661</v>
      </c>
      <c r="F17" s="73">
        <v>1835</v>
      </c>
      <c r="G17" s="73">
        <v>1262</v>
      </c>
      <c r="H17" s="73">
        <v>1192</v>
      </c>
      <c r="I17" s="73">
        <v>1882</v>
      </c>
      <c r="J17" s="73">
        <v>860</v>
      </c>
      <c r="K17" s="73">
        <v>685</v>
      </c>
      <c r="L17" s="73">
        <v>461</v>
      </c>
      <c r="M17" s="73">
        <v>15</v>
      </c>
      <c r="N17" s="73">
        <v>10</v>
      </c>
      <c r="O17" s="73">
        <v>62</v>
      </c>
      <c r="P17" s="73">
        <v>114</v>
      </c>
      <c r="Q17" s="74">
        <v>198</v>
      </c>
      <c r="R17" s="147"/>
      <c r="S17" s="75">
        <v>4.666666666666667</v>
      </c>
      <c r="T17" s="76">
        <v>176.7</v>
      </c>
      <c r="U17" s="71">
        <v>1.6411111111111108E-8</v>
      </c>
    </row>
    <row r="18" spans="2:21">
      <c r="B18" s="53">
        <v>13</v>
      </c>
      <c r="C18" s="72">
        <v>2135</v>
      </c>
      <c r="D18" s="73">
        <v>2902</v>
      </c>
      <c r="E18" s="73">
        <v>1279</v>
      </c>
      <c r="F18" s="73">
        <v>979</v>
      </c>
      <c r="G18" s="73">
        <v>794</v>
      </c>
      <c r="H18" s="73">
        <v>782</v>
      </c>
      <c r="I18" s="73">
        <v>2497</v>
      </c>
      <c r="J18" s="73">
        <v>545</v>
      </c>
      <c r="K18" s="73">
        <v>356</v>
      </c>
      <c r="L18" s="73">
        <v>408</v>
      </c>
      <c r="M18" s="73">
        <v>10</v>
      </c>
      <c r="N18" s="73">
        <v>10</v>
      </c>
      <c r="O18" s="73">
        <v>23</v>
      </c>
      <c r="P18" s="73">
        <v>49</v>
      </c>
      <c r="Q18" s="74">
        <v>137</v>
      </c>
      <c r="R18" s="147"/>
      <c r="S18" s="75">
        <v>5.833333333333333</v>
      </c>
      <c r="T18" s="76">
        <v>175.9</v>
      </c>
      <c r="U18" s="71">
        <v>1.6855555555555552E-8</v>
      </c>
    </row>
    <row r="19" spans="2:21">
      <c r="B19" s="53">
        <v>14</v>
      </c>
      <c r="C19" s="72">
        <v>3128</v>
      </c>
      <c r="D19" s="73">
        <v>3385</v>
      </c>
      <c r="E19" s="73">
        <v>1203</v>
      </c>
      <c r="F19" s="73">
        <v>1069</v>
      </c>
      <c r="G19" s="73">
        <v>622</v>
      </c>
      <c r="H19" s="73">
        <v>974</v>
      </c>
      <c r="I19" s="73">
        <v>2610</v>
      </c>
      <c r="J19" s="73">
        <v>452</v>
      </c>
      <c r="K19" s="73">
        <v>295</v>
      </c>
      <c r="L19" s="73">
        <v>462</v>
      </c>
      <c r="M19" s="73">
        <v>11</v>
      </c>
      <c r="N19" s="73">
        <v>9</v>
      </c>
      <c r="O19" s="73">
        <v>27</v>
      </c>
      <c r="P19" s="73">
        <v>33</v>
      </c>
      <c r="Q19" s="74">
        <v>207</v>
      </c>
      <c r="R19" s="147"/>
      <c r="S19" s="75">
        <v>7.0333333333333341</v>
      </c>
      <c r="T19" s="76">
        <v>179.7</v>
      </c>
      <c r="U19" s="71">
        <v>1.7077777777777777E-8</v>
      </c>
    </row>
    <row r="20" spans="2:21">
      <c r="B20" s="53">
        <v>15</v>
      </c>
      <c r="C20" s="72">
        <v>3583</v>
      </c>
      <c r="D20" s="73">
        <v>4045</v>
      </c>
      <c r="E20" s="73">
        <v>1689</v>
      </c>
      <c r="F20" s="73">
        <v>1650</v>
      </c>
      <c r="G20" s="73">
        <v>1261</v>
      </c>
      <c r="H20" s="73">
        <v>1336</v>
      </c>
      <c r="I20" s="73">
        <v>2238</v>
      </c>
      <c r="J20" s="73">
        <v>910</v>
      </c>
      <c r="K20" s="73">
        <v>693</v>
      </c>
      <c r="L20" s="73">
        <v>581</v>
      </c>
      <c r="M20" s="73">
        <v>21</v>
      </c>
      <c r="N20" s="73">
        <v>10</v>
      </c>
      <c r="O20" s="73">
        <v>93</v>
      </c>
      <c r="P20" s="73">
        <v>138</v>
      </c>
      <c r="Q20" s="74">
        <v>257</v>
      </c>
      <c r="R20" s="147"/>
      <c r="S20" s="75">
        <v>6.5</v>
      </c>
      <c r="T20" s="76">
        <v>178.6</v>
      </c>
      <c r="U20" s="71">
        <v>1.7011111111111107E-8</v>
      </c>
    </row>
    <row r="21" spans="2:21">
      <c r="B21" s="53">
        <v>16</v>
      </c>
      <c r="C21" s="72">
        <v>4118</v>
      </c>
      <c r="D21" s="73">
        <v>3282</v>
      </c>
      <c r="E21" s="73">
        <v>2360</v>
      </c>
      <c r="F21" s="73">
        <v>1857</v>
      </c>
      <c r="G21" s="73">
        <v>1469</v>
      </c>
      <c r="H21" s="73">
        <v>1782</v>
      </c>
      <c r="I21" s="73">
        <v>1885</v>
      </c>
      <c r="J21" s="73">
        <v>1180</v>
      </c>
      <c r="K21" s="73">
        <v>691</v>
      </c>
      <c r="L21" s="73">
        <v>973</v>
      </c>
      <c r="M21" s="73">
        <v>12</v>
      </c>
      <c r="N21" s="73">
        <v>10</v>
      </c>
      <c r="O21" s="73">
        <v>44</v>
      </c>
      <c r="P21" s="73">
        <v>168</v>
      </c>
      <c r="Q21" s="74">
        <v>344</v>
      </c>
      <c r="R21" s="147"/>
      <c r="S21" s="75">
        <v>6.7333333333333334</v>
      </c>
      <c r="T21" s="76">
        <v>181.9</v>
      </c>
      <c r="U21" s="71">
        <v>1.698888888888889E-8</v>
      </c>
    </row>
    <row r="22" spans="2:21">
      <c r="B22" s="53">
        <v>17</v>
      </c>
      <c r="C22" s="72">
        <v>7964</v>
      </c>
      <c r="D22" s="73">
        <v>6273</v>
      </c>
      <c r="E22" s="73">
        <v>3931</v>
      </c>
      <c r="F22" s="73">
        <v>4537</v>
      </c>
      <c r="G22" s="73">
        <v>3783</v>
      </c>
      <c r="H22" s="73">
        <v>3371</v>
      </c>
      <c r="I22" s="73">
        <v>2396</v>
      </c>
      <c r="J22" s="73">
        <v>2143</v>
      </c>
      <c r="K22" s="73">
        <v>2516</v>
      </c>
      <c r="L22" s="73">
        <v>2058</v>
      </c>
      <c r="M22" s="73">
        <v>47</v>
      </c>
      <c r="N22" s="73">
        <v>9</v>
      </c>
      <c r="O22" s="73">
        <v>317</v>
      </c>
      <c r="P22" s="73">
        <v>615</v>
      </c>
      <c r="Q22" s="74">
        <v>351</v>
      </c>
      <c r="R22" s="147"/>
      <c r="S22" s="75">
        <v>5.6000000000000005</v>
      </c>
      <c r="T22" s="76">
        <v>194.2</v>
      </c>
      <c r="U22" s="71">
        <v>1.7088888888888888E-8</v>
      </c>
    </row>
    <row r="23" spans="2:21">
      <c r="B23" s="54">
        <v>18</v>
      </c>
      <c r="C23" s="77">
        <v>13361</v>
      </c>
      <c r="D23" s="78">
        <v>5149</v>
      </c>
      <c r="E23" s="78">
        <v>7840</v>
      </c>
      <c r="F23" s="78">
        <v>8767</v>
      </c>
      <c r="G23" s="78">
        <v>6282</v>
      </c>
      <c r="H23" s="78">
        <v>4741</v>
      </c>
      <c r="I23" s="78">
        <v>1020</v>
      </c>
      <c r="J23" s="78">
        <v>4805</v>
      </c>
      <c r="K23" s="78">
        <v>5467</v>
      </c>
      <c r="L23" s="78">
        <v>3128</v>
      </c>
      <c r="M23" s="78">
        <v>217</v>
      </c>
      <c r="N23" s="78">
        <v>10</v>
      </c>
      <c r="O23" s="78">
        <v>849</v>
      </c>
      <c r="P23" s="78">
        <v>786</v>
      </c>
      <c r="Q23" s="79">
        <v>167</v>
      </c>
      <c r="R23" s="126"/>
      <c r="S23" s="80">
        <v>3.9666666666666663</v>
      </c>
      <c r="T23" s="81">
        <v>200.7</v>
      </c>
      <c r="U23" s="82">
        <v>1.7111111111111111E-8</v>
      </c>
    </row>
    <row r="24" spans="2:21">
      <c r="B24" s="55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0"/>
      <c r="T24" s="21"/>
      <c r="U24" s="22"/>
    </row>
    <row r="25" spans="2:21">
      <c r="B25" s="55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0"/>
      <c r="T25" s="21"/>
      <c r="U25" s="22"/>
    </row>
    <row r="26" spans="2:21">
      <c r="C26" s="142" t="s">
        <v>43</v>
      </c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4"/>
      <c r="R26" s="55"/>
    </row>
    <row r="27" spans="2:21">
      <c r="B27" s="56"/>
      <c r="C27" s="12">
        <v>1</v>
      </c>
      <c r="D27" s="12">
        <v>2</v>
      </c>
      <c r="E27" s="12">
        <v>3</v>
      </c>
      <c r="F27" s="12">
        <v>4</v>
      </c>
      <c r="G27" s="12">
        <v>5</v>
      </c>
      <c r="H27" s="12">
        <v>6</v>
      </c>
      <c r="I27" s="12">
        <v>7</v>
      </c>
      <c r="J27" s="12">
        <v>8</v>
      </c>
      <c r="K27" s="12">
        <v>9</v>
      </c>
      <c r="L27" s="12">
        <v>10</v>
      </c>
      <c r="M27" s="12">
        <v>11</v>
      </c>
      <c r="N27" s="12">
        <v>12</v>
      </c>
      <c r="O27" s="12">
        <v>13</v>
      </c>
      <c r="P27" s="12">
        <v>14</v>
      </c>
      <c r="Q27" s="12">
        <v>15</v>
      </c>
      <c r="R27" s="55"/>
    </row>
    <row r="28" spans="2:21">
      <c r="B28" s="125" t="s">
        <v>42</v>
      </c>
      <c r="C28" s="133" t="s">
        <v>57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55"/>
    </row>
    <row r="29" spans="2:21" ht="18.350000000000001" thickBot="1">
      <c r="B29" s="132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55"/>
    </row>
    <row r="30" spans="2:21" ht="18.350000000000001" thickTop="1">
      <c r="B30" s="51">
        <v>1</v>
      </c>
      <c r="C30" s="83">
        <f>((C6*10^(-15))*$S6*$R$6^2)/$U6</f>
        <v>7.0951229351969472E-2</v>
      </c>
      <c r="D30" s="83">
        <f t="shared" ref="D30:Q30" si="0">((D6*10^(-15))*$S6*$R$6^2)/$U6</f>
        <v>0.21381807369758565</v>
      </c>
      <c r="E30" s="83">
        <f t="shared" si="0"/>
        <v>1.2537013341804315E-2</v>
      </c>
      <c r="F30" s="83">
        <f t="shared" si="0"/>
        <v>7.5773157560355756E-3</v>
      </c>
      <c r="G30" s="83">
        <f t="shared" si="0"/>
        <v>2.342079415501905E-3</v>
      </c>
      <c r="H30" s="83">
        <f t="shared" si="0"/>
        <v>3.1686956797966951E-3</v>
      </c>
      <c r="I30" s="83">
        <f t="shared" si="0"/>
        <v>3.1962495552731882E-2</v>
      </c>
      <c r="J30" s="83">
        <f t="shared" si="0"/>
        <v>1.9287712833545099E-3</v>
      </c>
      <c r="K30" s="83">
        <f t="shared" si="0"/>
        <v>1.791001905972045E-3</v>
      </c>
      <c r="L30" s="83">
        <f t="shared" si="0"/>
        <v>1.791001905972045E-3</v>
      </c>
      <c r="M30" s="83">
        <f t="shared" si="0"/>
        <v>1.3776937738246499E-3</v>
      </c>
      <c r="N30" s="83">
        <f t="shared" si="0"/>
        <v>1.2399243964421852E-3</v>
      </c>
      <c r="O30" s="83">
        <f t="shared" si="0"/>
        <v>1.791001905972045E-3</v>
      </c>
      <c r="P30" s="83">
        <f t="shared" si="0"/>
        <v>1.791001905972045E-3</v>
      </c>
      <c r="Q30" s="83">
        <f t="shared" si="0"/>
        <v>1.5154631512071149E-3</v>
      </c>
      <c r="R30" s="115"/>
    </row>
    <row r="31" spans="2:21">
      <c r="B31" s="52">
        <v>2</v>
      </c>
      <c r="C31" s="83">
        <f t="shared" ref="C31:Q47" si="1">((C7*10^(-15))*$S7*$R$6^2)/$U7</f>
        <v>0.1509608982725528</v>
      </c>
      <c r="D31" s="83">
        <f t="shared" si="1"/>
        <v>0.4264577619961612</v>
      </c>
      <c r="E31" s="83">
        <f t="shared" si="1"/>
        <v>1.7616621880998076E-2</v>
      </c>
      <c r="F31" s="83">
        <f t="shared" si="1"/>
        <v>9.2148483685220717E-3</v>
      </c>
      <c r="G31" s="83">
        <f t="shared" si="1"/>
        <v>3.6588368522072938E-3</v>
      </c>
      <c r="H31" s="83">
        <f t="shared" si="1"/>
        <v>2.6831470249520154E-2</v>
      </c>
      <c r="I31" s="83">
        <f t="shared" si="1"/>
        <v>0.12778826487523992</v>
      </c>
      <c r="J31" s="83">
        <f t="shared" si="1"/>
        <v>6.7756238003838774E-4</v>
      </c>
      <c r="K31" s="83">
        <f t="shared" si="1"/>
        <v>1.8971746641074855E-3</v>
      </c>
      <c r="L31" s="83">
        <f t="shared" si="1"/>
        <v>3.6588368522072938E-3</v>
      </c>
      <c r="M31" s="83">
        <f t="shared" si="1"/>
        <v>1.4906372360844529E-3</v>
      </c>
      <c r="N31" s="83">
        <f t="shared" si="1"/>
        <v>1.219612284069098E-3</v>
      </c>
      <c r="O31" s="83">
        <f t="shared" si="1"/>
        <v>1.3551247600767755E-3</v>
      </c>
      <c r="P31" s="83">
        <f t="shared" si="1"/>
        <v>1.4906372360844529E-3</v>
      </c>
      <c r="Q31" s="83">
        <f t="shared" si="1"/>
        <v>1.3551247600767755E-3</v>
      </c>
      <c r="R31" s="115"/>
    </row>
    <row r="32" spans="2:21">
      <c r="B32" s="52">
        <v>3</v>
      </c>
      <c r="C32" s="83">
        <f t="shared" si="1"/>
        <v>1.096307935209424</v>
      </c>
      <c r="D32" s="83">
        <f t="shared" si="1"/>
        <v>0.84061001308900507</v>
      </c>
      <c r="E32" s="83">
        <f t="shared" si="1"/>
        <v>0.71115211060209427</v>
      </c>
      <c r="F32" s="83">
        <f t="shared" si="1"/>
        <v>0.26436145287958113</v>
      </c>
      <c r="G32" s="83">
        <f t="shared" si="1"/>
        <v>0.11782401832460732</v>
      </c>
      <c r="H32" s="83">
        <f t="shared" si="1"/>
        <v>0.13267578534031413</v>
      </c>
      <c r="I32" s="83">
        <f t="shared" si="1"/>
        <v>0.17153790903141361</v>
      </c>
      <c r="J32" s="83">
        <f t="shared" si="1"/>
        <v>8.2674836387434558E-2</v>
      </c>
      <c r="K32" s="83">
        <f t="shared" si="1"/>
        <v>0.11460613547120418</v>
      </c>
      <c r="L32" s="83">
        <f t="shared" si="1"/>
        <v>0.23366780104712037</v>
      </c>
      <c r="M32" s="83">
        <f t="shared" si="1"/>
        <v>8.1684718586387435E-3</v>
      </c>
      <c r="N32" s="83">
        <f t="shared" si="1"/>
        <v>2.7228239528795809E-3</v>
      </c>
      <c r="O32" s="83">
        <f t="shared" si="1"/>
        <v>1.1138825261780104E-2</v>
      </c>
      <c r="P32" s="83">
        <f t="shared" si="1"/>
        <v>4.2080006544502621E-3</v>
      </c>
      <c r="Q32" s="83">
        <f t="shared" si="1"/>
        <v>7.6734129581151819E-3</v>
      </c>
      <c r="R32" s="115"/>
    </row>
    <row r="33" spans="2:18">
      <c r="B33" s="52">
        <v>4</v>
      </c>
      <c r="C33" s="83">
        <f t="shared" si="1"/>
        <v>0.44044765560716659</v>
      </c>
      <c r="D33" s="83">
        <f t="shared" si="1"/>
        <v>0.58457639482415391</v>
      </c>
      <c r="E33" s="83">
        <f t="shared" si="1"/>
        <v>0.63758645653616464</v>
      </c>
      <c r="F33" s="83">
        <f t="shared" si="1"/>
        <v>0.14510588321167883</v>
      </c>
      <c r="G33" s="83">
        <f t="shared" si="1"/>
        <v>0.11872299535500996</v>
      </c>
      <c r="H33" s="83">
        <f t="shared" si="1"/>
        <v>0.12214299933642998</v>
      </c>
      <c r="I33" s="83">
        <f t="shared" si="1"/>
        <v>0.25063743463835436</v>
      </c>
      <c r="J33" s="83">
        <f t="shared" si="1"/>
        <v>5.9361497677504982E-2</v>
      </c>
      <c r="K33" s="83">
        <f t="shared" si="1"/>
        <v>6.6201505640345049E-2</v>
      </c>
      <c r="L33" s="83">
        <f t="shared" si="1"/>
        <v>0.11163870139349702</v>
      </c>
      <c r="M33" s="83">
        <f t="shared" si="1"/>
        <v>4.3971479761114804E-3</v>
      </c>
      <c r="N33" s="83">
        <f t="shared" si="1"/>
        <v>2.4428599867286002E-3</v>
      </c>
      <c r="O33" s="83">
        <f t="shared" si="1"/>
        <v>8.305723954877239E-3</v>
      </c>
      <c r="P33" s="83">
        <f t="shared" si="1"/>
        <v>4.8857199734572004E-3</v>
      </c>
      <c r="Q33" s="83">
        <f t="shared" si="1"/>
        <v>1.0260011944260119E-2</v>
      </c>
      <c r="R33" s="115"/>
    </row>
    <row r="34" spans="2:18">
      <c r="B34" s="52">
        <v>5</v>
      </c>
      <c r="C34" s="83">
        <f t="shared" si="1"/>
        <v>1.6502219301397207</v>
      </c>
      <c r="D34" s="83">
        <f t="shared" si="1"/>
        <v>1.5683696447105788</v>
      </c>
      <c r="E34" s="83">
        <f t="shared" si="1"/>
        <v>1.0341337524950101</v>
      </c>
      <c r="F34" s="83">
        <f t="shared" si="1"/>
        <v>0.66999090219560875</v>
      </c>
      <c r="G34" s="83">
        <f t="shared" si="1"/>
        <v>0.39648448502994016</v>
      </c>
      <c r="H34" s="83">
        <f t="shared" si="1"/>
        <v>0.41964269261477055</v>
      </c>
      <c r="I34" s="83">
        <f t="shared" si="1"/>
        <v>0.59931844111776444</v>
      </c>
      <c r="J34" s="83">
        <f t="shared" si="1"/>
        <v>0.2539417245508982</v>
      </c>
      <c r="K34" s="83">
        <f t="shared" si="1"/>
        <v>0.23238063473053894</v>
      </c>
      <c r="L34" s="83">
        <f t="shared" si="1"/>
        <v>0.23078351696606789</v>
      </c>
      <c r="M34" s="83">
        <f t="shared" si="1"/>
        <v>5.1906327345309384E-3</v>
      </c>
      <c r="N34" s="83">
        <f t="shared" si="1"/>
        <v>3.9927944111776449E-3</v>
      </c>
      <c r="O34" s="83">
        <f t="shared" si="1"/>
        <v>1.3575500998003991E-2</v>
      </c>
      <c r="P34" s="83">
        <f t="shared" si="1"/>
        <v>1.4374059880239525E-2</v>
      </c>
      <c r="Q34" s="83">
        <f t="shared" si="1"/>
        <v>3.7132988023952096E-2</v>
      </c>
      <c r="R34" s="115"/>
    </row>
    <row r="35" spans="2:18">
      <c r="B35" s="53">
        <v>6</v>
      </c>
      <c r="C35" s="83">
        <f t="shared" si="1"/>
        <v>1.5316335268034416</v>
      </c>
      <c r="D35" s="83">
        <f t="shared" si="1"/>
        <v>1.5886951886168106</v>
      </c>
      <c r="E35" s="83">
        <f t="shared" si="1"/>
        <v>1.1083919920582397</v>
      </c>
      <c r="F35" s="83">
        <f t="shared" si="1"/>
        <v>0.54968032495036412</v>
      </c>
      <c r="G35" s="83">
        <f t="shared" si="1"/>
        <v>0.39943163269358045</v>
      </c>
      <c r="H35" s="83">
        <f t="shared" si="1"/>
        <v>0.45361968563865002</v>
      </c>
      <c r="I35" s="83">
        <f t="shared" si="1"/>
        <v>0.71142345268034446</v>
      </c>
      <c r="J35" s="83">
        <f t="shared" si="1"/>
        <v>0.30460254003970882</v>
      </c>
      <c r="K35" s="83">
        <f t="shared" si="1"/>
        <v>0.19335282528127071</v>
      </c>
      <c r="L35" s="83">
        <f t="shared" si="1"/>
        <v>0.28284521575115823</v>
      </c>
      <c r="M35" s="83">
        <f t="shared" si="1"/>
        <v>5.7472177365982813E-3</v>
      </c>
      <c r="N35" s="83">
        <f t="shared" si="1"/>
        <v>4.1051555261416295E-3</v>
      </c>
      <c r="O35" s="83">
        <f t="shared" si="1"/>
        <v>1.7652168762409007E-2</v>
      </c>
      <c r="P35" s="83">
        <f t="shared" si="1"/>
        <v>2.4630933156849773E-2</v>
      </c>
      <c r="Q35" s="83">
        <f t="shared" si="1"/>
        <v>5.7472177365982806E-2</v>
      </c>
      <c r="R35" s="115"/>
    </row>
    <row r="36" spans="2:18">
      <c r="B36" s="53">
        <v>7</v>
      </c>
      <c r="C36" s="83">
        <f t="shared" si="1"/>
        <v>0.615457806</v>
      </c>
      <c r="D36" s="83">
        <f t="shared" si="1"/>
        <v>1.757582998</v>
      </c>
      <c r="E36" s="83">
        <f t="shared" si="1"/>
        <v>1.1636218199999999</v>
      </c>
      <c r="F36" s="83">
        <f t="shared" si="1"/>
        <v>1.1636218199999999</v>
      </c>
      <c r="G36" s="83">
        <f t="shared" si="1"/>
        <v>0.67854573600000001</v>
      </c>
      <c r="H36" s="83">
        <f t="shared" si="1"/>
        <v>0.64817006599999993</v>
      </c>
      <c r="I36" s="83">
        <f t="shared" si="1"/>
        <v>0.62994466400000004</v>
      </c>
      <c r="J36" s="83">
        <f t="shared" si="1"/>
        <v>0.46311213799999995</v>
      </c>
      <c r="K36" s="83">
        <f t="shared" si="1"/>
        <v>0.55704305600000004</v>
      </c>
      <c r="L36" s="83">
        <f t="shared" si="1"/>
        <v>0.26263271599999999</v>
      </c>
      <c r="M36" s="83">
        <f t="shared" si="1"/>
        <v>2.4300536000000001E-2</v>
      </c>
      <c r="N36" s="83">
        <f t="shared" si="1"/>
        <v>5.1404979999999994E-3</v>
      </c>
      <c r="O36" s="83">
        <f t="shared" si="1"/>
        <v>9.4865554000000005E-2</v>
      </c>
      <c r="P36" s="83">
        <f t="shared" si="1"/>
        <v>8.7388465999999998E-2</v>
      </c>
      <c r="Q36" s="83">
        <f t="shared" si="1"/>
        <v>7.8976742000000003E-2</v>
      </c>
      <c r="R36" s="115"/>
    </row>
    <row r="37" spans="2:18">
      <c r="B37" s="53">
        <v>8</v>
      </c>
      <c r="C37" s="83">
        <f t="shared" si="1"/>
        <v>1.9564135978552279</v>
      </c>
      <c r="D37" s="83">
        <f t="shared" si="1"/>
        <v>1.2686119423592495</v>
      </c>
      <c r="E37" s="83">
        <f t="shared" si="1"/>
        <v>0.8240133558981233</v>
      </c>
      <c r="F37" s="83">
        <f t="shared" si="1"/>
        <v>0.69724207037533514</v>
      </c>
      <c r="G37" s="83">
        <f t="shared" si="1"/>
        <v>0.58260846112600539</v>
      </c>
      <c r="H37" s="83">
        <f t="shared" si="1"/>
        <v>0.64824182171581779</v>
      </c>
      <c r="I37" s="83">
        <f t="shared" si="1"/>
        <v>0.74039825268096515</v>
      </c>
      <c r="J37" s="83">
        <f t="shared" si="1"/>
        <v>0.50079153217158179</v>
      </c>
      <c r="K37" s="83">
        <f t="shared" si="1"/>
        <v>0.21667999865951745</v>
      </c>
      <c r="L37" s="83">
        <f t="shared" si="1"/>
        <v>0.2742215750670241</v>
      </c>
      <c r="M37" s="83">
        <f>((M13*10^(-15))*$S13*$R$6^2)/$U13</f>
        <v>5.3945227882037537E-3</v>
      </c>
      <c r="N37" s="83">
        <f t="shared" si="1"/>
        <v>4.9449792225201069E-3</v>
      </c>
      <c r="O37" s="83">
        <f t="shared" si="1"/>
        <v>1.8431286193029493E-2</v>
      </c>
      <c r="P37" s="83">
        <f t="shared" si="1"/>
        <v>4.6752530831099197E-2</v>
      </c>
      <c r="Q37" s="83">
        <f t="shared" si="1"/>
        <v>9.1257343833780175E-2</v>
      </c>
      <c r="R37" s="115"/>
    </row>
    <row r="38" spans="2:18">
      <c r="B38" s="53">
        <v>9</v>
      </c>
      <c r="C38" s="83">
        <f t="shared" si="1"/>
        <v>5.445208419023137E-2</v>
      </c>
      <c r="D38" s="83">
        <f t="shared" si="1"/>
        <v>0.12814275964010285</v>
      </c>
      <c r="E38" s="83">
        <f t="shared" si="1"/>
        <v>1.0993480719794347E-2</v>
      </c>
      <c r="F38" s="83">
        <f t="shared" si="1"/>
        <v>9.4475224935732672E-3</v>
      </c>
      <c r="G38" s="83">
        <f t="shared" si="1"/>
        <v>1.0649934447300773E-2</v>
      </c>
      <c r="H38" s="83">
        <f t="shared" si="1"/>
        <v>1.9410364395886892E-2</v>
      </c>
      <c r="I38" s="83">
        <f t="shared" si="1"/>
        <v>5.7028681233933176E-2</v>
      </c>
      <c r="J38" s="83">
        <f t="shared" si="1"/>
        <v>8.0733374035989736E-3</v>
      </c>
      <c r="K38" s="83">
        <f t="shared" si="1"/>
        <v>3.0919164524421598E-3</v>
      </c>
      <c r="L38" s="83">
        <f t="shared" si="1"/>
        <v>1.7177313624678668E-3</v>
      </c>
      <c r="M38" s="83">
        <f t="shared" si="1"/>
        <v>1.5459582262210799E-3</v>
      </c>
      <c r="N38" s="83">
        <f t="shared" si="1"/>
        <v>1.8895044987146533E-3</v>
      </c>
      <c r="O38" s="83">
        <f t="shared" si="1"/>
        <v>1.3741850899742934E-3</v>
      </c>
      <c r="P38" s="83">
        <f t="shared" si="1"/>
        <v>1.3741850899742934E-3</v>
      </c>
      <c r="Q38" s="83">
        <f t="shared" si="1"/>
        <v>1.5459582262210799E-3</v>
      </c>
      <c r="R38" s="115"/>
    </row>
    <row r="39" spans="2:18">
      <c r="B39" s="53">
        <v>10</v>
      </c>
      <c r="C39" s="83">
        <f t="shared" si="1"/>
        <v>9.5973980544747095E-2</v>
      </c>
      <c r="D39" s="83">
        <f t="shared" si="1"/>
        <v>0.50660892217898834</v>
      </c>
      <c r="E39" s="83">
        <f t="shared" si="1"/>
        <v>6.5653842412451369E-2</v>
      </c>
      <c r="F39" s="83">
        <f t="shared" si="1"/>
        <v>3.3185033073929969E-2</v>
      </c>
      <c r="G39" s="83">
        <f t="shared" si="1"/>
        <v>1.504069844357977E-2</v>
      </c>
      <c r="H39" s="83">
        <f t="shared" si="1"/>
        <v>3.4139998054474714E-2</v>
      </c>
      <c r="I39" s="83">
        <f t="shared" si="1"/>
        <v>0.1897992898832685</v>
      </c>
      <c r="J39" s="83">
        <f t="shared" si="1"/>
        <v>1.1220838521400781E-2</v>
      </c>
      <c r="K39" s="83">
        <f t="shared" si="1"/>
        <v>3.5811186770428024E-3</v>
      </c>
      <c r="L39" s="83">
        <f t="shared" si="1"/>
        <v>3.5811186770428024E-3</v>
      </c>
      <c r="M39" s="83">
        <f t="shared" si="1"/>
        <v>2.1486712062256811E-3</v>
      </c>
      <c r="N39" s="83">
        <f t="shared" si="1"/>
        <v>2.3874124513618682E-3</v>
      </c>
      <c r="O39" s="83">
        <f t="shared" si="1"/>
        <v>2.3874124513618682E-3</v>
      </c>
      <c r="P39" s="83">
        <f t="shared" si="1"/>
        <v>2.3874124513618682E-3</v>
      </c>
      <c r="Q39" s="83">
        <f t="shared" si="1"/>
        <v>2.8648949416342417E-3</v>
      </c>
      <c r="R39" s="115"/>
    </row>
    <row r="40" spans="2:18">
      <c r="B40" s="53">
        <v>11</v>
      </c>
      <c r="C40" s="83">
        <f t="shared" si="1"/>
        <v>1.1014894532803183</v>
      </c>
      <c r="D40" s="83">
        <f t="shared" si="1"/>
        <v>1.0088506461232605</v>
      </c>
      <c r="E40" s="83">
        <f t="shared" si="1"/>
        <v>0.91410641153081518</v>
      </c>
      <c r="F40" s="83">
        <f t="shared" si="1"/>
        <v>0.55513103379721673</v>
      </c>
      <c r="G40" s="83">
        <f t="shared" si="1"/>
        <v>0.28247818091451293</v>
      </c>
      <c r="H40" s="83">
        <f t="shared" si="1"/>
        <v>0.17229414512922464</v>
      </c>
      <c r="I40" s="83">
        <f t="shared" si="1"/>
        <v>0.46354494035785282</v>
      </c>
      <c r="J40" s="83">
        <f t="shared" si="1"/>
        <v>0.16632876739562624</v>
      </c>
      <c r="K40" s="83">
        <f t="shared" si="1"/>
        <v>0.26352933399602385</v>
      </c>
      <c r="L40" s="83">
        <f t="shared" si="1"/>
        <v>0.14106363817097417</v>
      </c>
      <c r="M40" s="83">
        <f t="shared" si="1"/>
        <v>5.9653777335984095E-3</v>
      </c>
      <c r="N40" s="83">
        <f t="shared" si="1"/>
        <v>3.5090457256461236E-3</v>
      </c>
      <c r="O40" s="83">
        <f t="shared" si="1"/>
        <v>3.930131212723658E-2</v>
      </c>
      <c r="P40" s="83">
        <f t="shared" si="1"/>
        <v>1.0176232604373758E-2</v>
      </c>
      <c r="Q40" s="83">
        <f t="shared" si="1"/>
        <v>1.2983469184890654E-2</v>
      </c>
      <c r="R40" s="115"/>
    </row>
    <row r="41" spans="2:18">
      <c r="B41" s="53">
        <v>12</v>
      </c>
      <c r="C41" s="83">
        <f t="shared" si="1"/>
        <v>1.7198781042654034</v>
      </c>
      <c r="D41" s="83">
        <f t="shared" si="1"/>
        <v>1.5497067298578202</v>
      </c>
      <c r="E41" s="83">
        <f t="shared" si="1"/>
        <v>0.79397374407582966</v>
      </c>
      <c r="F41" s="83">
        <f t="shared" si="1"/>
        <v>0.8771473933649292</v>
      </c>
      <c r="G41" s="83">
        <f t="shared" si="1"/>
        <v>0.60324796208530829</v>
      </c>
      <c r="H41" s="83">
        <f t="shared" si="1"/>
        <v>0.56978729857819921</v>
      </c>
      <c r="I41" s="83">
        <f t="shared" si="1"/>
        <v>0.89961383886255963</v>
      </c>
      <c r="J41" s="83">
        <f t="shared" si="1"/>
        <v>0.41108815165876794</v>
      </c>
      <c r="K41" s="83">
        <f t="shared" si="1"/>
        <v>0.32743649289099536</v>
      </c>
      <c r="L41" s="83">
        <f t="shared" si="1"/>
        <v>0.22036236966824654</v>
      </c>
      <c r="M41" s="83">
        <f t="shared" si="1"/>
        <v>7.1701421800947889E-3</v>
      </c>
      <c r="N41" s="83">
        <f t="shared" si="1"/>
        <v>4.7800947867298604E-3</v>
      </c>
      <c r="O41" s="83">
        <f t="shared" si="1"/>
        <v>2.9636587677725128E-2</v>
      </c>
      <c r="P41" s="83">
        <f t="shared" si="1"/>
        <v>5.4493080568720403E-2</v>
      </c>
      <c r="Q41" s="83">
        <f t="shared" si="1"/>
        <v>9.4645876777251212E-2</v>
      </c>
      <c r="R41" s="115"/>
    </row>
    <row r="42" spans="2:18">
      <c r="B42" s="53">
        <v>13</v>
      </c>
      <c r="C42" s="83">
        <f t="shared" si="1"/>
        <v>1.242050675675676</v>
      </c>
      <c r="D42" s="83">
        <f t="shared" si="1"/>
        <v>1.6882581081081085</v>
      </c>
      <c r="E42" s="83">
        <f t="shared" si="1"/>
        <v>0.74406689189189212</v>
      </c>
      <c r="F42" s="83">
        <f t="shared" si="1"/>
        <v>0.56953986486486508</v>
      </c>
      <c r="G42" s="83">
        <f t="shared" si="1"/>
        <v>0.46191486486486494</v>
      </c>
      <c r="H42" s="83">
        <f t="shared" si="1"/>
        <v>0.45493378378378385</v>
      </c>
      <c r="I42" s="83">
        <f t="shared" si="1"/>
        <v>1.4526466216216221</v>
      </c>
      <c r="J42" s="83">
        <f t="shared" si="1"/>
        <v>0.31705743243243245</v>
      </c>
      <c r="K42" s="83">
        <f t="shared" si="1"/>
        <v>0.20710540540540548</v>
      </c>
      <c r="L42" s="83">
        <f t="shared" si="1"/>
        <v>0.2373567567567568</v>
      </c>
      <c r="M42" s="83">
        <f t="shared" si="1"/>
        <v>5.8175675675675694E-3</v>
      </c>
      <c r="N42" s="83">
        <f t="shared" si="1"/>
        <v>5.8175675675675694E-3</v>
      </c>
      <c r="O42" s="83">
        <f t="shared" si="1"/>
        <v>1.338040540540541E-2</v>
      </c>
      <c r="P42" s="83">
        <f t="shared" si="1"/>
        <v>2.8506081081081089E-2</v>
      </c>
      <c r="Q42" s="83">
        <f t="shared" si="1"/>
        <v>7.9700675675675695E-2</v>
      </c>
      <c r="R42" s="115"/>
    </row>
    <row r="43" spans="2:18">
      <c r="B43" s="53">
        <v>14</v>
      </c>
      <c r="C43" s="83">
        <f t="shared" si="1"/>
        <v>2.1655304775536766</v>
      </c>
      <c r="D43" s="83">
        <f t="shared" si="1"/>
        <v>2.3434528985035787</v>
      </c>
      <c r="E43" s="83">
        <f t="shared" si="1"/>
        <v>0.83284308327911527</v>
      </c>
      <c r="F43" s="83">
        <f t="shared" si="1"/>
        <v>0.74007419453480816</v>
      </c>
      <c r="G43" s="83">
        <f t="shared" si="1"/>
        <v>0.43061379700715691</v>
      </c>
      <c r="H43" s="83">
        <f t="shared" si="1"/>
        <v>0.67430520624593382</v>
      </c>
      <c r="I43" s="83">
        <f t="shared" si="1"/>
        <v>1.8069164150943404</v>
      </c>
      <c r="J43" s="83">
        <f t="shared" si="1"/>
        <v>0.3129219232270658</v>
      </c>
      <c r="K43" s="83">
        <f t="shared" si="1"/>
        <v>0.2042300162654522</v>
      </c>
      <c r="L43" s="83">
        <f t="shared" si="1"/>
        <v>0.31984497462589467</v>
      </c>
      <c r="M43" s="83">
        <f t="shared" si="1"/>
        <v>7.6153565387117768E-3</v>
      </c>
      <c r="N43" s="83">
        <f t="shared" si="1"/>
        <v>6.2307462589460006E-3</v>
      </c>
      <c r="O43" s="83">
        <f t="shared" si="1"/>
        <v>1.8692238776838E-2</v>
      </c>
      <c r="P43" s="83">
        <f t="shared" si="1"/>
        <v>2.2846069616135334E-2</v>
      </c>
      <c r="Q43" s="83">
        <f t="shared" si="1"/>
        <v>0.14330716395575802</v>
      </c>
      <c r="R43" s="115"/>
    </row>
    <row r="44" spans="2:18">
      <c r="B44" s="53">
        <v>15</v>
      </c>
      <c r="C44" s="83">
        <f t="shared" si="1"/>
        <v>2.3014163651208368</v>
      </c>
      <c r="D44" s="83">
        <f t="shared" si="1"/>
        <v>2.5981661169170489</v>
      </c>
      <c r="E44" s="83">
        <f t="shared" si="1"/>
        <v>1.0848708458523844</v>
      </c>
      <c r="F44" s="83">
        <f t="shared" si="1"/>
        <v>1.0598205421293276</v>
      </c>
      <c r="G44" s="83">
        <f t="shared" si="1"/>
        <v>0.80995982037883762</v>
      </c>
      <c r="H44" s="83">
        <f t="shared" si="1"/>
        <v>0.85813348138471623</v>
      </c>
      <c r="I44" s="83">
        <f t="shared" si="1"/>
        <v>1.4375020444154154</v>
      </c>
      <c r="J44" s="83">
        <f t="shared" si="1"/>
        <v>0.58450708687132624</v>
      </c>
      <c r="K44" s="83">
        <f t="shared" si="1"/>
        <v>0.4451246276943176</v>
      </c>
      <c r="L44" s="83">
        <f t="shared" si="1"/>
        <v>0.37318529392553895</v>
      </c>
      <c r="M44" s="83">
        <f t="shared" si="1"/>
        <v>1.3488625081645989E-2</v>
      </c>
      <c r="N44" s="83">
        <f t="shared" si="1"/>
        <v>6.4231548007838042E-3</v>
      </c>
      <c r="O44" s="83">
        <f t="shared" si="1"/>
        <v>5.9735339647289373E-2</v>
      </c>
      <c r="P44" s="83">
        <f t="shared" si="1"/>
        <v>8.8639536250816497E-2</v>
      </c>
      <c r="Q44" s="83">
        <f t="shared" si="1"/>
        <v>0.16507507838014376</v>
      </c>
      <c r="R44" s="115"/>
    </row>
    <row r="45" spans="2:18">
      <c r="B45" s="53">
        <v>16</v>
      </c>
      <c r="C45" s="83">
        <f t="shared" si="1"/>
        <v>2.7435898940483971</v>
      </c>
      <c r="D45" s="83">
        <f t="shared" si="1"/>
        <v>2.1866104983649444</v>
      </c>
      <c r="E45" s="83">
        <f t="shared" si="1"/>
        <v>1.5723341792020928</v>
      </c>
      <c r="F45" s="83">
        <f t="shared" si="1"/>
        <v>1.23721380117724</v>
      </c>
      <c r="G45" s="83">
        <f t="shared" si="1"/>
        <v>0.97871140222367548</v>
      </c>
      <c r="H45" s="83">
        <f t="shared" si="1"/>
        <v>1.1872455539568345</v>
      </c>
      <c r="I45" s="83">
        <f t="shared" si="1"/>
        <v>1.2558686134728581</v>
      </c>
      <c r="J45" s="83">
        <f t="shared" si="1"/>
        <v>0.78616708960104642</v>
      </c>
      <c r="K45" s="83">
        <f t="shared" si="1"/>
        <v>0.46037411772400272</v>
      </c>
      <c r="L45" s="83">
        <f t="shared" si="1"/>
        <v>0.64825472727272726</v>
      </c>
      <c r="M45" s="83">
        <f t="shared" si="1"/>
        <v>7.9949195552648789E-3</v>
      </c>
      <c r="N45" s="83">
        <f t="shared" si="1"/>
        <v>6.6624329627207324E-3</v>
      </c>
      <c r="O45" s="83">
        <f t="shared" si="1"/>
        <v>2.9314705035971219E-2</v>
      </c>
      <c r="P45" s="83">
        <f t="shared" si="1"/>
        <v>0.11192887377370832</v>
      </c>
      <c r="Q45" s="83">
        <f t="shared" si="1"/>
        <v>0.22918769391759319</v>
      </c>
      <c r="R45" s="115"/>
    </row>
    <row r="46" spans="2:18">
      <c r="B46" s="53">
        <v>17</v>
      </c>
      <c r="C46" s="83">
        <f t="shared" si="1"/>
        <v>4.3870558751625506</v>
      </c>
      <c r="D46" s="83">
        <f t="shared" si="1"/>
        <v>3.4555501638491557</v>
      </c>
      <c r="E46" s="83">
        <f t="shared" si="1"/>
        <v>2.1654340338101439</v>
      </c>
      <c r="F46" s="83">
        <f t="shared" si="1"/>
        <v>2.4992557139141751</v>
      </c>
      <c r="G46" s="83">
        <f t="shared" si="1"/>
        <v>2.0839066267880373</v>
      </c>
      <c r="H46" s="83">
        <f t="shared" si="1"/>
        <v>1.8569519531859562</v>
      </c>
      <c r="I46" s="83">
        <f t="shared" si="1"/>
        <v>1.3198626163849159</v>
      </c>
      <c r="J46" s="83">
        <f t="shared" si="1"/>
        <v>1.180494819245774</v>
      </c>
      <c r="K46" s="83">
        <f t="shared" si="1"/>
        <v>1.3859659193758131</v>
      </c>
      <c r="L46" s="83">
        <f t="shared" si="1"/>
        <v>1.1336716462938885</v>
      </c>
      <c r="M46" s="83">
        <f t="shared" si="1"/>
        <v>2.5890460338101433E-2</v>
      </c>
      <c r="N46" s="83">
        <f t="shared" si="1"/>
        <v>4.9577477243172964E-3</v>
      </c>
      <c r="O46" s="83">
        <f t="shared" si="1"/>
        <v>0.17462289206762033</v>
      </c>
      <c r="P46" s="83">
        <f t="shared" si="1"/>
        <v>0.33877942782834858</v>
      </c>
      <c r="Q46" s="83">
        <f t="shared" si="1"/>
        <v>0.19335216124837459</v>
      </c>
      <c r="R46" s="115"/>
    </row>
    <row r="47" spans="2:18">
      <c r="B47" s="57">
        <v>18</v>
      </c>
      <c r="C47" s="83">
        <f t="shared" si="1"/>
        <v>5.2065995045454549</v>
      </c>
      <c r="D47" s="83">
        <f t="shared" si="1"/>
        <v>2.0064950863636364</v>
      </c>
      <c r="E47" s="83">
        <f t="shared" si="1"/>
        <v>3.0551410909090908</v>
      </c>
      <c r="F47" s="83">
        <f t="shared" si="1"/>
        <v>3.4163803500000003</v>
      </c>
      <c r="G47" s="83">
        <f t="shared" si="1"/>
        <v>2.4480097363636366</v>
      </c>
      <c r="H47" s="83">
        <f t="shared" si="1"/>
        <v>1.8475030499999998</v>
      </c>
      <c r="I47" s="83">
        <f t="shared" si="1"/>
        <v>0.39748009090909092</v>
      </c>
      <c r="J47" s="83">
        <f t="shared" si="1"/>
        <v>1.8724429772727276</v>
      </c>
      <c r="K47" s="83">
        <f t="shared" si="1"/>
        <v>2.1304153499999998</v>
      </c>
      <c r="L47" s="83">
        <f t="shared" si="1"/>
        <v>1.2189389454545454</v>
      </c>
      <c r="M47" s="83">
        <f t="shared" si="1"/>
        <v>8.4561940909090902E-2</v>
      </c>
      <c r="N47" s="83">
        <f t="shared" si="1"/>
        <v>3.8968636363636371E-3</v>
      </c>
      <c r="O47" s="83">
        <f t="shared" si="1"/>
        <v>0.33084372272727275</v>
      </c>
      <c r="P47" s="83">
        <f t="shared" si="1"/>
        <v>0.30629348181818183</v>
      </c>
      <c r="Q47" s="83">
        <f t="shared" si="1"/>
        <v>6.507762272727273E-2</v>
      </c>
      <c r="R47" s="115"/>
    </row>
    <row r="48" spans="2:18" ht="28">
      <c r="B48" s="58" t="s">
        <v>29</v>
      </c>
      <c r="C48" s="84">
        <f>AVERAGE(C41:C42)</f>
        <v>1.4809643899705396</v>
      </c>
      <c r="D48" s="85">
        <f>AVERAGE(D41:D42)</f>
        <v>1.6189824189829642</v>
      </c>
      <c r="E48" s="85">
        <f t="shared" ref="E48:P48" si="2">AVERAGE(E41:E42)</f>
        <v>0.76902031798386083</v>
      </c>
      <c r="F48" s="85">
        <f t="shared" si="2"/>
        <v>0.72334362911489714</v>
      </c>
      <c r="G48" s="85">
        <f t="shared" si="2"/>
        <v>0.53258141347508658</v>
      </c>
      <c r="H48" s="85">
        <f t="shared" si="2"/>
        <v>0.5123605411809915</v>
      </c>
      <c r="I48" s="85">
        <f t="shared" si="2"/>
        <v>1.1761302302420908</v>
      </c>
      <c r="J48" s="85">
        <f t="shared" si="2"/>
        <v>0.36407279204560017</v>
      </c>
      <c r="K48" s="85">
        <f t="shared" si="2"/>
        <v>0.26727094914820043</v>
      </c>
      <c r="L48" s="85">
        <f t="shared" si="2"/>
        <v>0.22885956321250167</v>
      </c>
      <c r="M48" s="85">
        <f t="shared" si="2"/>
        <v>6.4938548738311796E-3</v>
      </c>
      <c r="N48" s="85">
        <f t="shared" si="2"/>
        <v>5.2988311771487145E-3</v>
      </c>
      <c r="O48" s="85">
        <f t="shared" si="2"/>
        <v>2.150849654156527E-2</v>
      </c>
      <c r="P48" s="85">
        <f t="shared" si="2"/>
        <v>4.1499580824900746E-2</v>
      </c>
      <c r="Q48" s="86">
        <f>AVERAGE(Q41:Q42)</f>
        <v>8.7173276226463453E-2</v>
      </c>
      <c r="R48" s="116"/>
    </row>
    <row r="49" spans="2:18" ht="28">
      <c r="B49" s="59" t="s">
        <v>30</v>
      </c>
      <c r="C49" s="84">
        <f>AVERAGE(C43:C45)</f>
        <v>2.4035122455743037</v>
      </c>
      <c r="D49" s="85">
        <f>AVERAGE(D43:D45)</f>
        <v>2.3760765045951904</v>
      </c>
      <c r="E49" s="85">
        <f t="shared" ref="E49:Q49" si="3">AVERAGE(E43:E45)</f>
        <v>1.1633493694445309</v>
      </c>
      <c r="F49" s="85">
        <f>AVERAGE(F43:F45)</f>
        <v>1.0123695126137919</v>
      </c>
      <c r="G49" s="85">
        <f t="shared" si="3"/>
        <v>0.73976167320322339</v>
      </c>
      <c r="H49" s="85">
        <f t="shared" si="3"/>
        <v>0.90656141386249489</v>
      </c>
      <c r="I49" s="85">
        <f t="shared" si="3"/>
        <v>1.5000956909942047</v>
      </c>
      <c r="J49" s="85">
        <f t="shared" si="3"/>
        <v>0.56119869989981286</v>
      </c>
      <c r="K49" s="85">
        <f t="shared" si="3"/>
        <v>0.36990958722792416</v>
      </c>
      <c r="L49" s="85">
        <f t="shared" si="3"/>
        <v>0.44709499860805363</v>
      </c>
      <c r="M49" s="85">
        <f t="shared" si="3"/>
        <v>9.6996337252075477E-3</v>
      </c>
      <c r="N49" s="85">
        <f t="shared" si="3"/>
        <v>6.438778007483513E-3</v>
      </c>
      <c r="O49" s="85">
        <f t="shared" si="3"/>
        <v>3.5914094486699528E-2</v>
      </c>
      <c r="P49" s="85">
        <f t="shared" si="3"/>
        <v>7.4471493213553383E-2</v>
      </c>
      <c r="Q49" s="86">
        <f t="shared" si="3"/>
        <v>0.17918997875116496</v>
      </c>
      <c r="R49" s="116"/>
    </row>
    <row r="50" spans="2:18" ht="28">
      <c r="B50" s="59" t="s">
        <v>31</v>
      </c>
      <c r="C50" s="84">
        <f>AVERAGE(C45:C46)</f>
        <v>3.5653228846054739</v>
      </c>
      <c r="D50" s="85">
        <f>AVERAGE(D45:D46)</f>
        <v>2.82108033110705</v>
      </c>
      <c r="E50" s="85">
        <f t="shared" ref="E50:Q50" si="4">AVERAGE(E45:E46)</f>
        <v>1.8688841065061184</v>
      </c>
      <c r="F50" s="85">
        <f t="shared" si="4"/>
        <v>1.8682347575457077</v>
      </c>
      <c r="G50" s="85">
        <f t="shared" si="4"/>
        <v>1.5313090145058563</v>
      </c>
      <c r="H50" s="85">
        <f t="shared" si="4"/>
        <v>1.5220987535713952</v>
      </c>
      <c r="I50" s="85">
        <f t="shared" si="4"/>
        <v>1.287865614928887</v>
      </c>
      <c r="J50" s="85">
        <f t="shared" si="4"/>
        <v>0.98333095442341023</v>
      </c>
      <c r="K50" s="85">
        <f t="shared" si="4"/>
        <v>0.92317001854990788</v>
      </c>
      <c r="L50" s="85">
        <f t="shared" si="4"/>
        <v>0.89096318678330788</v>
      </c>
      <c r="M50" s="85">
        <f t="shared" si="4"/>
        <v>1.6942689946683156E-2</v>
      </c>
      <c r="N50" s="85">
        <f t="shared" si="4"/>
        <v>5.810090343519014E-3</v>
      </c>
      <c r="O50" s="85">
        <f t="shared" si="4"/>
        <v>0.10196879855179578</v>
      </c>
      <c r="P50" s="85">
        <f t="shared" si="4"/>
        <v>0.22535415080102844</v>
      </c>
      <c r="Q50" s="86">
        <f t="shared" si="4"/>
        <v>0.21126992758298391</v>
      </c>
      <c r="R50" s="116"/>
    </row>
  </sheetData>
  <mergeCells count="12">
    <mergeCell ref="B1:U1"/>
    <mergeCell ref="B4:B5"/>
    <mergeCell ref="B28:B29"/>
    <mergeCell ref="C28:Q29"/>
    <mergeCell ref="C2:Q2"/>
    <mergeCell ref="S4:S5"/>
    <mergeCell ref="C4:Q5"/>
    <mergeCell ref="U4:U5"/>
    <mergeCell ref="C26:Q26"/>
    <mergeCell ref="T4:T5"/>
    <mergeCell ref="R4:R5"/>
    <mergeCell ref="R6:R2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8248-0E67-47C0-850A-178AF0F5E235}">
  <dimension ref="A1:AN38"/>
  <sheetViews>
    <sheetView topLeftCell="E1" zoomScale="70" zoomScaleNormal="70" workbookViewId="0">
      <selection activeCell="I32" sqref="I32"/>
    </sheetView>
  </sheetViews>
  <sheetFormatPr defaultRowHeight="18"/>
  <cols>
    <col min="1" max="1" width="10.88671875" bestFit="1" customWidth="1"/>
    <col min="2" max="2" width="26" customWidth="1"/>
    <col min="3" max="3" width="10.109375" bestFit="1" customWidth="1"/>
    <col min="7" max="7" width="24" bestFit="1" customWidth="1"/>
    <col min="8" max="8" width="10.38671875" customWidth="1"/>
    <col min="9" max="10" width="10.109375" bestFit="1" customWidth="1"/>
    <col min="11" max="11" width="9.5" bestFit="1" customWidth="1"/>
    <col min="12" max="12" width="9.38671875" bestFit="1" customWidth="1"/>
    <col min="13" max="13" width="9.88671875" bestFit="1" customWidth="1"/>
    <col min="14" max="14" width="10.609375" bestFit="1" customWidth="1"/>
    <col min="15" max="15" width="9.71875" bestFit="1" customWidth="1"/>
    <col min="16" max="16" width="10.609375" bestFit="1" customWidth="1"/>
    <col min="17" max="17" width="9.71875" bestFit="1" customWidth="1"/>
    <col min="18" max="18" width="10.609375" bestFit="1" customWidth="1"/>
    <col min="19" max="19" width="9.71875" bestFit="1" customWidth="1"/>
    <col min="20" max="20" width="9.71875" customWidth="1"/>
    <col min="21" max="22" width="9.21875" customWidth="1"/>
    <col min="28" max="32" width="7.88671875" customWidth="1"/>
    <col min="33" max="33" width="10.609375" customWidth="1"/>
    <col min="34" max="34" width="11.88671875" bestFit="1" customWidth="1"/>
    <col min="35" max="35" width="13.88671875" bestFit="1" customWidth="1"/>
    <col min="36" max="36" width="11.88671875" bestFit="1" customWidth="1"/>
  </cols>
  <sheetData>
    <row r="1" spans="1:40" ht="19.350000000000001">
      <c r="G1" s="150" t="s">
        <v>59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40" ht="19.350000000000001">
      <c r="A2" s="151" t="s">
        <v>69</v>
      </c>
      <c r="B2" s="151"/>
      <c r="C2" s="151"/>
      <c r="D2" s="151"/>
      <c r="G2" s="89" t="s">
        <v>52</v>
      </c>
      <c r="H2" s="90"/>
      <c r="I2" s="91" t="s">
        <v>68</v>
      </c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40" ht="18.350000000000001" thickBot="1">
      <c r="A3" s="148" t="s">
        <v>0</v>
      </c>
      <c r="B3" s="149"/>
      <c r="C3" s="18" t="s">
        <v>1</v>
      </c>
      <c r="D3" s="18" t="s">
        <v>2</v>
      </c>
      <c r="F3" s="25"/>
      <c r="G3" s="35" t="s">
        <v>47</v>
      </c>
      <c r="H3" s="156" t="s">
        <v>46</v>
      </c>
      <c r="I3" s="139"/>
      <c r="J3" s="157"/>
      <c r="K3" s="157"/>
      <c r="L3" s="157"/>
      <c r="M3" s="158"/>
      <c r="N3" s="154" t="s">
        <v>49</v>
      </c>
      <c r="O3" s="155"/>
      <c r="P3" s="154" t="s">
        <v>48</v>
      </c>
      <c r="Q3" s="155"/>
      <c r="R3" s="149" t="s">
        <v>50</v>
      </c>
      <c r="S3" s="134"/>
      <c r="T3" s="1"/>
    </row>
    <row r="4" spans="1:40" ht="18" customHeight="1" thickTop="1" thickBot="1">
      <c r="A4" s="13"/>
      <c r="B4" s="13" t="s">
        <v>44</v>
      </c>
      <c r="C4" s="13" t="s">
        <v>8</v>
      </c>
      <c r="D4" s="13"/>
      <c r="F4" s="25"/>
      <c r="G4" s="36" t="s">
        <v>39</v>
      </c>
      <c r="H4" s="37" t="s">
        <v>60</v>
      </c>
      <c r="I4" s="30" t="s">
        <v>61</v>
      </c>
      <c r="J4" s="30" t="s">
        <v>83</v>
      </c>
      <c r="K4" s="30" t="s">
        <v>62</v>
      </c>
      <c r="L4" s="30" t="s">
        <v>67</v>
      </c>
      <c r="M4" s="43" t="s">
        <v>63</v>
      </c>
      <c r="N4" s="37" t="s">
        <v>64</v>
      </c>
      <c r="O4" s="43" t="s">
        <v>65</v>
      </c>
      <c r="P4" s="37" t="s">
        <v>64</v>
      </c>
      <c r="Q4" s="43" t="s">
        <v>65</v>
      </c>
      <c r="R4" s="32" t="s">
        <v>64</v>
      </c>
      <c r="S4" s="30" t="s">
        <v>66</v>
      </c>
      <c r="T4" s="2"/>
      <c r="AI4" s="23" t="s">
        <v>32</v>
      </c>
      <c r="AJ4" s="24"/>
      <c r="AK4" s="24" t="s">
        <v>33</v>
      </c>
      <c r="AL4" s="24"/>
      <c r="AM4" s="24" t="s">
        <v>34</v>
      </c>
      <c r="AN4" s="24"/>
    </row>
    <row r="5" spans="1:40" ht="28.35" thickTop="1">
      <c r="A5" s="4" t="s">
        <v>4</v>
      </c>
      <c r="B5" s="92" t="s">
        <v>76</v>
      </c>
      <c r="C5" s="4">
        <v>6.8000000000000005E-2</v>
      </c>
      <c r="D5" s="4" t="s">
        <v>5</v>
      </c>
      <c r="F5" s="26"/>
      <c r="G5" s="10">
        <v>1</v>
      </c>
      <c r="H5" s="39">
        <v>0.75892899656886781</v>
      </c>
      <c r="I5" s="28">
        <v>-1.0523638050556685</v>
      </c>
      <c r="J5" s="28">
        <v>-0.11201001330439045</v>
      </c>
      <c r="K5" s="28">
        <v>0.76983894685246146</v>
      </c>
      <c r="L5" s="28">
        <v>0.62126006582172122</v>
      </c>
      <c r="M5" s="40">
        <v>0.50092920663819063</v>
      </c>
      <c r="N5" s="46">
        <v>232.18099171599536</v>
      </c>
      <c r="O5" s="47">
        <v>234.84223405559408</v>
      </c>
      <c r="P5" s="46">
        <v>403.31614015343655</v>
      </c>
      <c r="Q5" s="47">
        <v>375.71791560273243</v>
      </c>
      <c r="R5" s="44">
        <v>457.09319298025042</v>
      </c>
      <c r="S5" s="29">
        <v>298.66261833004052</v>
      </c>
      <c r="T5" s="3"/>
    </row>
    <row r="6" spans="1:40">
      <c r="A6" s="4" t="s">
        <v>15</v>
      </c>
      <c r="B6" s="4" t="s">
        <v>11</v>
      </c>
      <c r="C6" s="15">
        <v>4.08</v>
      </c>
      <c r="D6" s="4" t="s">
        <v>3</v>
      </c>
      <c r="F6" s="26"/>
      <c r="G6" s="11">
        <v>2</v>
      </c>
      <c r="H6" s="41">
        <v>-0.28632816329388699</v>
      </c>
      <c r="I6" s="8">
        <v>0.33395875638960859</v>
      </c>
      <c r="J6" s="8">
        <v>0.64906169035781813</v>
      </c>
      <c r="K6" s="8">
        <v>0.37555405783908691</v>
      </c>
      <c r="L6" s="8">
        <v>0.63744643232266651</v>
      </c>
      <c r="M6" s="42">
        <v>0.58088789300469157</v>
      </c>
      <c r="N6" s="48">
        <v>294.84773666636744</v>
      </c>
      <c r="O6" s="49">
        <v>207.84039548276166</v>
      </c>
      <c r="P6" s="48">
        <v>348.80400088123559</v>
      </c>
      <c r="Q6" s="49">
        <v>297.47802891970952</v>
      </c>
      <c r="R6" s="45">
        <v>326.50067018428848</v>
      </c>
      <c r="S6" s="27">
        <v>181.98349701317215</v>
      </c>
      <c r="T6" s="3"/>
    </row>
    <row r="7" spans="1:40">
      <c r="A7" s="4" t="s">
        <v>9</v>
      </c>
      <c r="B7" s="4" t="s">
        <v>40</v>
      </c>
      <c r="C7" s="16">
        <v>6.0000000000000001E-3</v>
      </c>
      <c r="D7" s="4" t="s">
        <v>10</v>
      </c>
      <c r="F7" s="26"/>
      <c r="G7" s="11">
        <v>3</v>
      </c>
      <c r="H7" s="41">
        <v>-0.2437686436524053</v>
      </c>
      <c r="I7" s="8">
        <v>4.4345108885932363E-2</v>
      </c>
      <c r="J7" s="8">
        <v>0.10697465163503957</v>
      </c>
      <c r="K7" s="8">
        <v>0.21759190532875852</v>
      </c>
      <c r="L7" s="8">
        <v>0.45828933548070866</v>
      </c>
      <c r="M7" s="42">
        <v>0.22180589594566208</v>
      </c>
      <c r="N7" s="48">
        <v>140.70498090935777</v>
      </c>
      <c r="O7" s="49">
        <v>107.39566663582193</v>
      </c>
      <c r="P7" s="48">
        <v>249.35649993721765</v>
      </c>
      <c r="Q7" s="49">
        <v>178.64692778589304</v>
      </c>
      <c r="R7" s="45">
        <v>261.24580681732897</v>
      </c>
      <c r="S7" s="27">
        <v>128.20435270143108</v>
      </c>
      <c r="T7" s="3"/>
    </row>
    <row r="8" spans="1:40">
      <c r="A8" s="4" t="s">
        <v>7</v>
      </c>
      <c r="B8" s="4" t="s">
        <v>38</v>
      </c>
      <c r="C8" s="5">
        <v>2.4999999999999998E-6</v>
      </c>
      <c r="D8" s="4" t="s">
        <v>16</v>
      </c>
      <c r="F8" s="26"/>
      <c r="G8" s="11">
        <v>4</v>
      </c>
      <c r="H8" s="41">
        <v>0.65588264127161966</v>
      </c>
      <c r="I8" s="8">
        <v>-0.3371013934598418</v>
      </c>
      <c r="J8" s="8">
        <v>-0.11164396750927806</v>
      </c>
      <c r="K8" s="8">
        <v>0.82704922624466082</v>
      </c>
      <c r="L8" s="8">
        <v>0.60754674042433998</v>
      </c>
      <c r="M8" s="42">
        <v>0.43296075204817597</v>
      </c>
      <c r="N8" s="48">
        <v>110.24581045609511</v>
      </c>
      <c r="O8" s="49">
        <v>117.70358925321499</v>
      </c>
      <c r="P8" s="48">
        <v>216.62229726633041</v>
      </c>
      <c r="Q8" s="49">
        <v>176.08347649005455</v>
      </c>
      <c r="R8" s="45">
        <v>275.39713623177698</v>
      </c>
      <c r="S8" s="27">
        <v>152.35780045520312</v>
      </c>
      <c r="T8" s="3"/>
    </row>
    <row r="9" spans="1:40">
      <c r="A9" s="125" t="s">
        <v>17</v>
      </c>
      <c r="B9" s="6" t="s">
        <v>41</v>
      </c>
      <c r="C9" s="152">
        <f>C8/(C6*C5^2)*10^6</f>
        <v>132.5140782956781</v>
      </c>
      <c r="D9" s="125" t="s">
        <v>6</v>
      </c>
      <c r="F9" s="26"/>
      <c r="G9" s="11">
        <v>5</v>
      </c>
      <c r="H9" s="41">
        <v>0.12112544639731114</v>
      </c>
      <c r="I9" s="8">
        <v>-0.35288600238078571</v>
      </c>
      <c r="J9" s="8">
        <v>-0.12082189622575451</v>
      </c>
      <c r="K9" s="8">
        <v>0.68847857292906667</v>
      </c>
      <c r="L9" s="8">
        <v>0.76992822631468394</v>
      </c>
      <c r="M9" s="42">
        <v>0.67293501855612359</v>
      </c>
      <c r="N9" s="48">
        <v>54.565311392284137</v>
      </c>
      <c r="O9" s="49">
        <v>57.100996081914033</v>
      </c>
      <c r="P9" s="48">
        <v>104.64163209001467</v>
      </c>
      <c r="Q9" s="49">
        <v>111.62441650825401</v>
      </c>
      <c r="R9" s="45">
        <v>154.52382428282843</v>
      </c>
      <c r="S9" s="27">
        <v>89.251842601439364</v>
      </c>
      <c r="T9" s="3"/>
    </row>
    <row r="10" spans="1:40">
      <c r="A10" s="126"/>
      <c r="B10" s="7" t="s">
        <v>18</v>
      </c>
      <c r="C10" s="153"/>
      <c r="D10" s="126"/>
      <c r="F10" s="26"/>
      <c r="G10" s="11">
        <v>6</v>
      </c>
      <c r="H10" s="41">
        <v>0.54406011483789651</v>
      </c>
      <c r="I10" s="8">
        <v>2.21029164624326</v>
      </c>
      <c r="J10" s="8">
        <v>0.55176493242770119</v>
      </c>
      <c r="K10" s="8">
        <v>0.48839437014214693</v>
      </c>
      <c r="L10" s="8">
        <v>0.69654050836776138</v>
      </c>
      <c r="M10" s="42">
        <v>0.42652370282193125</v>
      </c>
      <c r="N10" s="48">
        <v>85.337424454246175</v>
      </c>
      <c r="O10" s="49">
        <v>74.221539152494927</v>
      </c>
      <c r="P10" s="48">
        <v>144.65420251460142</v>
      </c>
      <c r="Q10" s="49">
        <v>123.04263180687825</v>
      </c>
      <c r="R10" s="45">
        <v>179.94594254084313</v>
      </c>
      <c r="S10" s="27">
        <v>80.650270493079475</v>
      </c>
      <c r="T10" s="3"/>
    </row>
    <row r="11" spans="1:40">
      <c r="A11" s="111"/>
      <c r="B11" s="112" t="s">
        <v>82</v>
      </c>
      <c r="C11" s="109">
        <v>365</v>
      </c>
      <c r="D11" s="112" t="s">
        <v>78</v>
      </c>
      <c r="F11" s="26"/>
      <c r="G11" s="11">
        <v>7</v>
      </c>
      <c r="H11" s="41">
        <v>1.5453024998249423</v>
      </c>
      <c r="I11" s="8">
        <v>0.3709025978572929</v>
      </c>
      <c r="J11" s="8">
        <v>0.17184510888593238</v>
      </c>
      <c r="K11" s="8">
        <v>0.71972638470695338</v>
      </c>
      <c r="L11" s="8">
        <v>0.38952629367691344</v>
      </c>
      <c r="M11" s="42">
        <v>0.34333309992297462</v>
      </c>
      <c r="N11" s="48">
        <v>236.28887429901118</v>
      </c>
      <c r="O11" s="49">
        <v>121.25131983167257</v>
      </c>
      <c r="P11" s="48">
        <v>207.77506844448448</v>
      </c>
      <c r="Q11" s="49">
        <v>170.29067140552348</v>
      </c>
      <c r="R11" s="45">
        <v>158.33724435767161</v>
      </c>
      <c r="S11" s="27">
        <v>100.94439342470309</v>
      </c>
      <c r="T11" s="3"/>
    </row>
    <row r="12" spans="1:40">
      <c r="F12" s="26"/>
      <c r="G12" s="11">
        <v>8</v>
      </c>
      <c r="H12" s="41">
        <v>2.2427982984384847</v>
      </c>
      <c r="I12" s="8">
        <v>-1.6355997479168147E-2</v>
      </c>
      <c r="J12" s="8">
        <v>0.14005269238848822</v>
      </c>
      <c r="K12" s="8">
        <v>0.8313167845388979</v>
      </c>
      <c r="L12" s="8">
        <v>0.49354579511238716</v>
      </c>
      <c r="M12" s="42">
        <v>0.58789633078916048</v>
      </c>
      <c r="N12" s="48">
        <v>43.324668515983205</v>
      </c>
      <c r="O12" s="49">
        <v>45.026087782319678</v>
      </c>
      <c r="P12" s="48">
        <v>82.614808693346063</v>
      </c>
      <c r="Q12" s="49">
        <v>77.967137588809436</v>
      </c>
      <c r="R12" s="45">
        <v>106.63263573460574</v>
      </c>
      <c r="S12" s="27">
        <v>66.594237106456688</v>
      </c>
      <c r="T12" s="3"/>
    </row>
    <row r="13" spans="1:40">
      <c r="F13" s="26"/>
      <c r="G13" s="11">
        <v>9</v>
      </c>
      <c r="H13" s="41">
        <v>0.35784994048035856</v>
      </c>
      <c r="I13" s="8">
        <v>-0.37539335480708641</v>
      </c>
      <c r="J13" s="8">
        <v>7.392339472025769E-2</v>
      </c>
      <c r="K13" s="8">
        <v>0.67753291086058398</v>
      </c>
      <c r="L13" s="8">
        <v>0.94839787129752817</v>
      </c>
      <c r="M13" s="42">
        <v>0.42119371892724605</v>
      </c>
      <c r="N13" s="48">
        <v>24.55117574477444</v>
      </c>
      <c r="O13" s="49">
        <v>34.096981571042718</v>
      </c>
      <c r="P13" s="48">
        <v>63.268627431591561</v>
      </c>
      <c r="Q13" s="49">
        <v>68.051154395229602</v>
      </c>
      <c r="R13" s="45">
        <v>104.00393028919439</v>
      </c>
      <c r="S13" s="27">
        <v>66.828839661580773</v>
      </c>
      <c r="T13" s="3"/>
    </row>
    <row r="14" spans="1:40">
      <c r="F14" s="26"/>
      <c r="G14" s="11">
        <v>10</v>
      </c>
      <c r="H14" s="41">
        <v>0.32630750647713747</v>
      </c>
      <c r="I14" s="8">
        <v>3.6184966038792801E-2</v>
      </c>
      <c r="J14" s="8">
        <v>0.12418773195154402</v>
      </c>
      <c r="K14" s="8">
        <v>0.42369354386947694</v>
      </c>
      <c r="L14" s="8">
        <v>0.4781272319865556</v>
      </c>
      <c r="M14" s="42">
        <v>0.29799698900637211</v>
      </c>
      <c r="N14" s="48">
        <v>66.036789071850507</v>
      </c>
      <c r="O14" s="49">
        <v>54.321289643931301</v>
      </c>
      <c r="P14" s="48">
        <v>99.557326098175608</v>
      </c>
      <c r="Q14" s="49">
        <v>85.466906592528844</v>
      </c>
      <c r="R14" s="45">
        <v>114.79985826131538</v>
      </c>
      <c r="S14" s="27">
        <v>68.206013649694</v>
      </c>
      <c r="T14" s="3"/>
    </row>
    <row r="15" spans="1:40">
      <c r="F15" s="26"/>
      <c r="G15" s="11">
        <v>11</v>
      </c>
      <c r="H15" s="41">
        <v>0.24548280932707792</v>
      </c>
      <c r="I15" s="8">
        <v>-0.51105349765422603</v>
      </c>
      <c r="J15" s="8">
        <v>2.325729990896996E-2</v>
      </c>
      <c r="K15" s="8">
        <v>0.60214533295987671</v>
      </c>
      <c r="L15" s="8">
        <v>0.48820688327147965</v>
      </c>
      <c r="M15" s="42">
        <v>0.50752695889643584</v>
      </c>
      <c r="N15" s="48">
        <v>0.17585697008674495</v>
      </c>
      <c r="O15" s="49">
        <v>7.2798741734151742</v>
      </c>
      <c r="P15" s="48">
        <v>0.47858427421593247</v>
      </c>
      <c r="Q15" s="49">
        <v>17.378639946600558</v>
      </c>
      <c r="R15" s="45">
        <v>1.704443788346675</v>
      </c>
      <c r="S15" s="27">
        <v>8.5647009906888805</v>
      </c>
      <c r="T15" s="3"/>
    </row>
    <row r="16" spans="1:40">
      <c r="F16" s="26"/>
      <c r="G16" s="11">
        <v>12</v>
      </c>
      <c r="H16" s="41">
        <v>1.8095072123800857</v>
      </c>
      <c r="I16" s="8">
        <v>-7.9672992087388844E-2</v>
      </c>
      <c r="J16" s="8">
        <v>-0.27237378334850504</v>
      </c>
      <c r="K16" s="8">
        <v>0.72605629857853093</v>
      </c>
      <c r="L16" s="8">
        <v>0.76165202016665512</v>
      </c>
      <c r="M16" s="42">
        <v>0.47067239689097407</v>
      </c>
      <c r="N16" s="48">
        <v>0.13475746630455437</v>
      </c>
      <c r="O16" s="49">
        <v>7.2601444933694221</v>
      </c>
      <c r="P16" s="48">
        <v>-2.0694607941272685E-2</v>
      </c>
      <c r="Q16" s="49">
        <v>17.307260008833673</v>
      </c>
      <c r="R16" s="45">
        <v>-0.23040415812503781</v>
      </c>
      <c r="S16" s="27">
        <v>7.902289329591401</v>
      </c>
      <c r="T16" s="3"/>
    </row>
    <row r="17" spans="3:20">
      <c r="F17" s="26"/>
      <c r="G17" s="11">
        <v>13</v>
      </c>
      <c r="H17" s="41">
        <v>0.19266507947622716</v>
      </c>
      <c r="I17" s="8">
        <v>0.13059799733912192</v>
      </c>
      <c r="J17" s="8">
        <v>0.29649709404103358</v>
      </c>
      <c r="K17" s="8">
        <v>0.33668177998739585</v>
      </c>
      <c r="L17" s="8">
        <v>0.35920698830614106</v>
      </c>
      <c r="M17" s="42">
        <v>0.33304810587493872</v>
      </c>
      <c r="N17" s="48">
        <v>1.8394536195225206</v>
      </c>
      <c r="O17" s="49">
        <v>8.1168920110875842</v>
      </c>
      <c r="P17" s="48">
        <v>6.2212400743715559</v>
      </c>
      <c r="Q17" s="49">
        <v>18.99314293593827</v>
      </c>
      <c r="R17" s="45">
        <v>12.598495176039711</v>
      </c>
      <c r="S17" s="27">
        <v>13.758825413064645</v>
      </c>
      <c r="T17" s="3"/>
    </row>
    <row r="18" spans="3:20">
      <c r="F18" s="26"/>
      <c r="G18" s="11">
        <v>14</v>
      </c>
      <c r="H18" s="41">
        <v>0.56080001400462154</v>
      </c>
      <c r="I18" s="8">
        <v>0.12288425180309503</v>
      </c>
      <c r="J18" s="8">
        <v>-5.7674532595756601E-3</v>
      </c>
      <c r="K18" s="8">
        <v>0.5888605489811638</v>
      </c>
      <c r="L18" s="8">
        <v>0.62759890763952109</v>
      </c>
      <c r="M18" s="42">
        <v>0.3765361319235348</v>
      </c>
      <c r="N18" s="48">
        <v>2.2787286156567359</v>
      </c>
      <c r="O18" s="49">
        <v>7.761079669211095</v>
      </c>
      <c r="P18" s="48">
        <v>10.159648178653358</v>
      </c>
      <c r="Q18" s="49">
        <v>20.693199171378804</v>
      </c>
      <c r="R18" s="45">
        <v>25.690218895786039</v>
      </c>
      <c r="S18" s="27">
        <v>19.084453084622002</v>
      </c>
      <c r="T18" s="3"/>
    </row>
    <row r="19" spans="3:20">
      <c r="C19" s="117"/>
      <c r="F19" s="26"/>
      <c r="G19" s="11">
        <v>15</v>
      </c>
      <c r="H19" s="41">
        <v>1.228021146978503</v>
      </c>
      <c r="I19" s="8">
        <v>-0.12940165254533997</v>
      </c>
      <c r="J19" s="8">
        <v>1.2445557033821161E-2</v>
      </c>
      <c r="K19" s="8">
        <v>0.68499667390238783</v>
      </c>
      <c r="L19" s="8">
        <v>0.67069410405433794</v>
      </c>
      <c r="M19" s="42">
        <v>0.33988691268118482</v>
      </c>
      <c r="N19" s="48">
        <v>29.263784811655455</v>
      </c>
      <c r="O19" s="49">
        <v>18.346769826211169</v>
      </c>
      <c r="P19" s="48">
        <v>46.422584100899769</v>
      </c>
      <c r="Q19" s="49">
        <v>27.744467160195324</v>
      </c>
      <c r="R19" s="45">
        <v>52.010712963406036</v>
      </c>
      <c r="S19" s="27">
        <v>17.249523773159687</v>
      </c>
      <c r="T19" s="3"/>
    </row>
    <row r="20" spans="3:20"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3:20">
      <c r="G21" s="89" t="s">
        <v>51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</row>
    <row r="22" spans="3:20" ht="18.350000000000001" thickBot="1">
      <c r="G22" s="35" t="s">
        <v>47</v>
      </c>
      <c r="H22" s="156" t="s">
        <v>13</v>
      </c>
      <c r="I22" s="157"/>
      <c r="J22" s="157"/>
      <c r="K22" s="157"/>
      <c r="L22" s="157"/>
      <c r="M22" s="158"/>
      <c r="N22" s="154" t="s">
        <v>12</v>
      </c>
      <c r="O22" s="155"/>
      <c r="P22" s="154" t="s">
        <v>13</v>
      </c>
      <c r="Q22" s="155"/>
      <c r="R22" s="149" t="s">
        <v>14</v>
      </c>
      <c r="S22" s="134"/>
    </row>
    <row r="23" spans="3:20" ht="18.7" thickTop="1" thickBot="1">
      <c r="G23" s="36" t="s">
        <v>45</v>
      </c>
      <c r="H23" s="37" t="s">
        <v>19</v>
      </c>
      <c r="I23" s="30" t="s">
        <v>20</v>
      </c>
      <c r="J23" s="30" t="s">
        <v>21</v>
      </c>
      <c r="K23" s="31" t="s">
        <v>22</v>
      </c>
      <c r="L23" s="31" t="s">
        <v>23</v>
      </c>
      <c r="M23" s="38" t="s">
        <v>24</v>
      </c>
      <c r="N23" s="37" t="s">
        <v>25</v>
      </c>
      <c r="O23" s="43" t="s">
        <v>26</v>
      </c>
      <c r="P23" s="37" t="s">
        <v>25</v>
      </c>
      <c r="Q23" s="43" t="s">
        <v>26</v>
      </c>
      <c r="R23" s="32" t="s">
        <v>25</v>
      </c>
      <c r="S23" s="30" t="s">
        <v>26</v>
      </c>
    </row>
    <row r="24" spans="3:20" ht="18.350000000000001" thickTop="1">
      <c r="G24" s="10">
        <v>1</v>
      </c>
      <c r="H24" s="120">
        <f>H5/$C$6</f>
        <v>0.1860120089629578</v>
      </c>
      <c r="I24" s="121">
        <f t="shared" ref="H24:M38" si="0">I5/$C$6</f>
        <v>-0.25793230516070303</v>
      </c>
      <c r="J24" s="121">
        <f t="shared" si="0"/>
        <v>-2.745343463342903E-2</v>
      </c>
      <c r="K24" s="28">
        <f t="shared" si="0"/>
        <v>0.18868601638540722</v>
      </c>
      <c r="L24" s="28">
        <f>L5/$C$6</f>
        <v>0.15226962397591207</v>
      </c>
      <c r="M24" s="40">
        <f t="shared" si="0"/>
        <v>0.12277676633288986</v>
      </c>
      <c r="N24" s="39">
        <f t="shared" ref="N24:S38" si="1">N5/$C$9</f>
        <v>1.752123206093853</v>
      </c>
      <c r="O24" s="40">
        <f t="shared" si="1"/>
        <v>1.7722059201256457</v>
      </c>
      <c r="P24" s="39">
        <f t="shared" si="1"/>
        <v>3.0435720139374092</v>
      </c>
      <c r="Q24" s="40">
        <f t="shared" si="1"/>
        <v>2.8353056553311613</v>
      </c>
      <c r="R24" s="33">
        <f t="shared" si="1"/>
        <v>3.4493934445239871</v>
      </c>
      <c r="S24" s="28">
        <f t="shared" si="1"/>
        <v>2.2538180257620315</v>
      </c>
    </row>
    <row r="25" spans="3:20">
      <c r="G25" s="11">
        <v>2</v>
      </c>
      <c r="H25" s="122">
        <f t="shared" si="0"/>
        <v>-7.0178471395560535E-2</v>
      </c>
      <c r="I25" s="123">
        <f t="shared" si="0"/>
        <v>8.1852636370002105E-2</v>
      </c>
      <c r="J25" s="123">
        <f t="shared" si="0"/>
        <v>0.15908374763672012</v>
      </c>
      <c r="K25" s="8">
        <f t="shared" si="0"/>
        <v>9.2047563195854637E-2</v>
      </c>
      <c r="L25" s="8">
        <f t="shared" si="0"/>
        <v>0.15623687066732023</v>
      </c>
      <c r="M25" s="42">
        <f t="shared" si="0"/>
        <v>0.14237448357958127</v>
      </c>
      <c r="N25" s="41">
        <f t="shared" si="1"/>
        <v>2.2250295248515024</v>
      </c>
      <c r="O25" s="42">
        <f t="shared" si="1"/>
        <v>1.5684401095784575</v>
      </c>
      <c r="P25" s="41">
        <f t="shared" si="1"/>
        <v>2.6322033505221287</v>
      </c>
      <c r="Q25" s="42">
        <f t="shared" si="1"/>
        <v>2.2448786781427708</v>
      </c>
      <c r="R25" s="34">
        <f t="shared" si="1"/>
        <v>2.4638942094572691</v>
      </c>
      <c r="S25" s="8">
        <f t="shared" si="1"/>
        <v>1.3733144383882983</v>
      </c>
    </row>
    <row r="26" spans="3:20">
      <c r="G26" s="11">
        <v>3</v>
      </c>
      <c r="H26" s="122">
        <f t="shared" si="0"/>
        <v>-5.974721658147189E-2</v>
      </c>
      <c r="I26" s="123">
        <f t="shared" si="0"/>
        <v>1.0868899236748128E-2</v>
      </c>
      <c r="J26" s="123">
        <f t="shared" si="0"/>
        <v>2.6219277361529306E-2</v>
      </c>
      <c r="K26" s="8">
        <f t="shared" si="0"/>
        <v>5.3331349345283947E-2</v>
      </c>
      <c r="L26" s="8">
        <f t="shared" si="0"/>
        <v>0.11232581751978153</v>
      </c>
      <c r="M26" s="42">
        <f t="shared" si="0"/>
        <v>5.4364190182760314E-2</v>
      </c>
      <c r="N26" s="41">
        <f t="shared" si="1"/>
        <v>1.0618115653749887</v>
      </c>
      <c r="O26" s="42">
        <f t="shared" si="1"/>
        <v>0.81044722203923436</v>
      </c>
      <c r="P26" s="41">
        <f t="shared" si="1"/>
        <v>1.8817359117182217</v>
      </c>
      <c r="Q26" s="42">
        <f t="shared" si="1"/>
        <v>1.3481354591417745</v>
      </c>
      <c r="R26" s="34">
        <f t="shared" si="1"/>
        <v>1.9714569967004736</v>
      </c>
      <c r="S26" s="8">
        <f t="shared" si="1"/>
        <v>0.9674772246867932</v>
      </c>
    </row>
    <row r="27" spans="3:20">
      <c r="G27" s="11">
        <v>4</v>
      </c>
      <c r="H27" s="122">
        <f t="shared" si="0"/>
        <v>0.16075554933127933</v>
      </c>
      <c r="I27" s="123">
        <f t="shared" si="0"/>
        <v>-8.2622890553882791E-2</v>
      </c>
      <c r="J27" s="123">
        <f t="shared" si="0"/>
        <v>-2.7363717526783838E-2</v>
      </c>
      <c r="K27" s="8">
        <f t="shared" si="0"/>
        <v>0.20270814368741685</v>
      </c>
      <c r="L27" s="8">
        <f t="shared" si="0"/>
        <v>0.14890851480988726</v>
      </c>
      <c r="M27" s="42">
        <f t="shared" si="0"/>
        <v>0.10611783138435685</v>
      </c>
      <c r="N27" s="41">
        <f t="shared" si="1"/>
        <v>0.83195545615994171</v>
      </c>
      <c r="O27" s="42">
        <f t="shared" si="1"/>
        <v>0.88823459942560568</v>
      </c>
      <c r="P27" s="41">
        <f t="shared" si="1"/>
        <v>1.6347115721771237</v>
      </c>
      <c r="Q27" s="42">
        <f t="shared" si="1"/>
        <v>1.3287907123133003</v>
      </c>
      <c r="R27" s="34">
        <f t="shared" si="1"/>
        <v>2.0782481361511227</v>
      </c>
      <c r="S27" s="8">
        <f t="shared" si="1"/>
        <v>1.1497480299055305</v>
      </c>
    </row>
    <row r="28" spans="3:20">
      <c r="G28" s="11">
        <v>5</v>
      </c>
      <c r="H28" s="122">
        <f>H9/$C$6</f>
        <v>2.9687609411105671E-2</v>
      </c>
      <c r="I28" s="123">
        <f t="shared" si="0"/>
        <v>-8.6491667250192569E-2</v>
      </c>
      <c r="J28" s="123">
        <f t="shared" si="0"/>
        <v>-2.9613209859253555E-2</v>
      </c>
      <c r="K28" s="8">
        <f t="shared" si="0"/>
        <v>0.16874474826692809</v>
      </c>
      <c r="L28" s="8">
        <f>L9/$C$6</f>
        <v>0.18870789860654016</v>
      </c>
      <c r="M28" s="42">
        <f t="shared" si="0"/>
        <v>0.16493505356767735</v>
      </c>
      <c r="N28" s="41">
        <f>N9/$C$9</f>
        <v>0.41176991980076855</v>
      </c>
      <c r="O28" s="42">
        <f t="shared" si="1"/>
        <v>0.43090512960068156</v>
      </c>
      <c r="P28" s="41">
        <f t="shared" si="1"/>
        <v>0.78966426387185995</v>
      </c>
      <c r="Q28" s="42">
        <f>Q9/$C$9</f>
        <v>0.84235892475656005</v>
      </c>
      <c r="R28" s="34">
        <f t="shared" si="1"/>
        <v>1.1660936428055597</v>
      </c>
      <c r="S28" s="8">
        <f t="shared" si="1"/>
        <v>0.67352724894853888</v>
      </c>
    </row>
    <row r="29" spans="3:20">
      <c r="G29" s="11">
        <v>6</v>
      </c>
      <c r="H29" s="122">
        <f t="shared" si="0"/>
        <v>0.13334806736222954</v>
      </c>
      <c r="I29" s="123">
        <f t="shared" si="0"/>
        <v>0.54173814858903435</v>
      </c>
      <c r="J29" s="123">
        <f t="shared" si="0"/>
        <v>0.13523650304600518</v>
      </c>
      <c r="K29" s="8">
        <f>K10/$C$6</f>
        <v>0.11970450248582032</v>
      </c>
      <c r="L29" s="8">
        <f t="shared" si="0"/>
        <v>0.17072071283523563</v>
      </c>
      <c r="M29" s="42">
        <f t="shared" si="0"/>
        <v>0.10454012324066943</v>
      </c>
      <c r="N29" s="41">
        <f>N10/$C$9</f>
        <v>0.64398760910394093</v>
      </c>
      <c r="O29" s="42">
        <f t="shared" si="1"/>
        <v>0.56010304797113497</v>
      </c>
      <c r="P29" s="41">
        <f t="shared" si="1"/>
        <v>1.0916138449217079</v>
      </c>
      <c r="Q29" s="42">
        <f t="shared" si="1"/>
        <v>0.92852497930320843</v>
      </c>
      <c r="R29" s="34">
        <f t="shared" si="1"/>
        <v>1.3579383025200575</v>
      </c>
      <c r="S29" s="8">
        <f t="shared" si="1"/>
        <v>0.60861662044031928</v>
      </c>
    </row>
    <row r="30" spans="3:20">
      <c r="G30" s="11">
        <v>7</v>
      </c>
      <c r="H30" s="122">
        <f t="shared" si="0"/>
        <v>0.37875061270219174</v>
      </c>
      <c r="I30" s="123">
        <f t="shared" si="0"/>
        <v>9.0907499474826695E-2</v>
      </c>
      <c r="J30" s="123">
        <f t="shared" si="0"/>
        <v>4.2118899236748129E-2</v>
      </c>
      <c r="K30" s="8">
        <f t="shared" si="0"/>
        <v>0.17640352566346895</v>
      </c>
      <c r="L30" s="8">
        <f t="shared" si="0"/>
        <v>9.5472130803165051E-2</v>
      </c>
      <c r="M30" s="42">
        <f t="shared" si="0"/>
        <v>8.4150269588964363E-2</v>
      </c>
      <c r="N30" s="41">
        <f t="shared" si="1"/>
        <v>1.7831227997660808</v>
      </c>
      <c r="O30" s="42">
        <f t="shared" si="1"/>
        <v>0.91500707993549946</v>
      </c>
      <c r="P30" s="41">
        <f t="shared" si="1"/>
        <v>1.5679471277072679</v>
      </c>
      <c r="Q30" s="42">
        <f t="shared" si="1"/>
        <v>1.2850760733931577</v>
      </c>
      <c r="R30" s="34">
        <f t="shared" si="1"/>
        <v>1.1948711140289139</v>
      </c>
      <c r="S30" s="8">
        <f t="shared" si="1"/>
        <v>0.76176354031959004</v>
      </c>
    </row>
    <row r="31" spans="3:20">
      <c r="G31" s="11">
        <v>8</v>
      </c>
      <c r="H31" s="122">
        <f t="shared" si="0"/>
        <v>0.54970546530355013</v>
      </c>
      <c r="I31" s="123">
        <f t="shared" si="0"/>
        <v>-4.0088229115608203E-3</v>
      </c>
      <c r="J31" s="123">
        <f t="shared" si="0"/>
        <v>3.4326640291296132E-2</v>
      </c>
      <c r="K31" s="8">
        <f t="shared" si="0"/>
        <v>0.203754113857573</v>
      </c>
      <c r="L31" s="8">
        <f t="shared" si="0"/>
        <v>0.12096710664519293</v>
      </c>
      <c r="M31" s="42">
        <f t="shared" si="0"/>
        <v>0.14409223793851972</v>
      </c>
      <c r="N31" s="41">
        <f t="shared" si="1"/>
        <v>0.32694389209962321</v>
      </c>
      <c r="O31" s="42">
        <f t="shared" si="1"/>
        <v>0.33978342800568828</v>
      </c>
      <c r="P31" s="41">
        <f t="shared" si="1"/>
        <v>0.62344174864958868</v>
      </c>
      <c r="Q31" s="42">
        <f t="shared" si="1"/>
        <v>0.58836871215178876</v>
      </c>
      <c r="R31" s="34">
        <f t="shared" si="1"/>
        <v>0.80468911006328547</v>
      </c>
      <c r="S31" s="8">
        <f t="shared" si="1"/>
        <v>0.50254461988457744</v>
      </c>
    </row>
    <row r="32" spans="3:20">
      <c r="G32" s="11">
        <v>9</v>
      </c>
      <c r="H32" s="122">
        <f t="shared" si="0"/>
        <v>8.770831874518592E-2</v>
      </c>
      <c r="I32" s="123">
        <f t="shared" si="0"/>
        <v>-9.200817519781529E-2</v>
      </c>
      <c r="J32" s="123">
        <f t="shared" si="0"/>
        <v>1.8118479098102373E-2</v>
      </c>
      <c r="K32" s="8">
        <f t="shared" si="0"/>
        <v>0.16606198795602548</v>
      </c>
      <c r="L32" s="8">
        <f t="shared" si="0"/>
        <v>0.23245045865135494</v>
      </c>
      <c r="M32" s="42">
        <f t="shared" si="0"/>
        <v>0.10323375463903089</v>
      </c>
      <c r="N32" s="41">
        <f t="shared" si="1"/>
        <v>0.18527220700274205</v>
      </c>
      <c r="O32" s="42">
        <f t="shared" si="1"/>
        <v>0.25730837062430656</v>
      </c>
      <c r="P32" s="41">
        <f t="shared" si="1"/>
        <v>0.47744834545368486</v>
      </c>
      <c r="Q32" s="42">
        <f t="shared" si="1"/>
        <v>0.51353905389122012</v>
      </c>
      <c r="R32" s="34">
        <f t="shared" si="1"/>
        <v>0.78485193140860743</v>
      </c>
      <c r="S32" s="8">
        <f t="shared" si="1"/>
        <v>0.50431501709928406</v>
      </c>
    </row>
    <row r="33" spans="7:19">
      <c r="G33" s="11">
        <v>10</v>
      </c>
      <c r="H33" s="122">
        <f t="shared" si="0"/>
        <v>7.9977330018906237E-2</v>
      </c>
      <c r="I33" s="123">
        <f t="shared" si="0"/>
        <v>8.8688642251943135E-3</v>
      </c>
      <c r="J33" s="123">
        <f t="shared" si="0"/>
        <v>3.0438169595966669E-2</v>
      </c>
      <c r="K33" s="8">
        <f t="shared" si="0"/>
        <v>0.10384645683075415</v>
      </c>
      <c r="L33" s="8">
        <f t="shared" si="0"/>
        <v>0.11718804705552834</v>
      </c>
      <c r="M33" s="42">
        <f t="shared" si="0"/>
        <v>7.3038477697640228E-2</v>
      </c>
      <c r="N33" s="41">
        <f t="shared" si="1"/>
        <v>0.4983379118745625</v>
      </c>
      <c r="O33" s="42">
        <f t="shared" si="1"/>
        <v>0.40992844188769467</v>
      </c>
      <c r="P33" s="41">
        <f t="shared" si="1"/>
        <v>0.75129621983283745</v>
      </c>
      <c r="Q33" s="42">
        <f t="shared" si="1"/>
        <v>0.64496472896884882</v>
      </c>
      <c r="R33" s="34">
        <f t="shared" si="1"/>
        <v>0.86632197678772616</v>
      </c>
      <c r="S33" s="8">
        <f t="shared" si="1"/>
        <v>0.51470767881361412</v>
      </c>
    </row>
    <row r="34" spans="7:19">
      <c r="G34" s="11">
        <v>11</v>
      </c>
      <c r="H34" s="122">
        <f t="shared" si="0"/>
        <v>6.0167355227224981E-2</v>
      </c>
      <c r="I34" s="123">
        <f t="shared" si="0"/>
        <v>-0.12525821020936911</v>
      </c>
      <c r="J34" s="123">
        <f t="shared" si="0"/>
        <v>5.7003186051396964E-3</v>
      </c>
      <c r="K34" s="8">
        <f t="shared" si="0"/>
        <v>0.14758464043134234</v>
      </c>
      <c r="L34" s="8">
        <f t="shared" si="0"/>
        <v>0.11965854982144108</v>
      </c>
      <c r="M34" s="42">
        <f t="shared" si="0"/>
        <v>0.12439386247461663</v>
      </c>
      <c r="N34" s="41">
        <f t="shared" si="1"/>
        <v>1.3270814116395696E-3</v>
      </c>
      <c r="O34" s="42">
        <f t="shared" si="1"/>
        <v>5.4936609506286732E-2</v>
      </c>
      <c r="P34" s="41">
        <f t="shared" si="1"/>
        <v>3.6115730522463386E-3</v>
      </c>
      <c r="Q34" s="42">
        <f t="shared" si="1"/>
        <v>0.13114561237654818</v>
      </c>
      <c r="R34" s="34">
        <f t="shared" si="1"/>
        <v>1.2862360062178124E-2</v>
      </c>
      <c r="S34" s="8">
        <f t="shared" si="1"/>
        <v>6.4632385485702881E-2</v>
      </c>
    </row>
    <row r="35" spans="7:19">
      <c r="G35" s="11">
        <v>12</v>
      </c>
      <c r="H35" s="122">
        <f t="shared" si="0"/>
        <v>0.44350666970100139</v>
      </c>
      <c r="I35" s="123">
        <f t="shared" si="0"/>
        <v>-1.9527694139065892E-2</v>
      </c>
      <c r="J35" s="123">
        <f t="shared" si="0"/>
        <v>-6.6758280232476722E-2</v>
      </c>
      <c r="K35" s="8">
        <f t="shared" si="0"/>
        <v>0.17795497514179678</v>
      </c>
      <c r="L35" s="8">
        <f t="shared" si="0"/>
        <v>0.18667941670751351</v>
      </c>
      <c r="M35" s="42">
        <f t="shared" si="0"/>
        <v>0.11536088159092502</v>
      </c>
      <c r="N35" s="41">
        <f t="shared" si="1"/>
        <v>1.0169294314817676E-3</v>
      </c>
      <c r="O35" s="42">
        <f t="shared" si="1"/>
        <v>5.4787722080139233E-2</v>
      </c>
      <c r="P35" s="41">
        <f t="shared" si="1"/>
        <v>-1.5616912714056612E-4</v>
      </c>
      <c r="Q35" s="42">
        <f t="shared" si="1"/>
        <v>0.13060695309834217</v>
      </c>
      <c r="R35" s="34">
        <f t="shared" si="1"/>
        <v>-1.7387145659417257E-3</v>
      </c>
      <c r="S35" s="8">
        <f t="shared" si="1"/>
        <v>5.9633583323570015E-2</v>
      </c>
    </row>
    <row r="36" spans="7:19">
      <c r="G36" s="11">
        <v>13</v>
      </c>
      <c r="H36" s="122">
        <f t="shared" si="0"/>
        <v>4.7221833204957639E-2</v>
      </c>
      <c r="I36" s="123">
        <f t="shared" si="0"/>
        <v>3.2009313073314193E-2</v>
      </c>
      <c r="J36" s="123">
        <f t="shared" si="0"/>
        <v>7.2670856382606272E-2</v>
      </c>
      <c r="K36" s="8">
        <f t="shared" si="0"/>
        <v>8.2520044114557808E-2</v>
      </c>
      <c r="L36" s="8">
        <f t="shared" si="0"/>
        <v>8.8040928506407115E-2</v>
      </c>
      <c r="M36" s="42">
        <f t="shared" si="0"/>
        <v>8.1629437714445766E-2</v>
      </c>
      <c r="N36" s="41">
        <f t="shared" si="1"/>
        <v>1.3881193931848928E-2</v>
      </c>
      <c r="O36" s="42">
        <f t="shared" si="1"/>
        <v>6.1253054131927005E-2</v>
      </c>
      <c r="P36" s="41">
        <f t="shared" si="1"/>
        <v>4.6947767017555139E-2</v>
      </c>
      <c r="Q36" s="42">
        <f t="shared" si="1"/>
        <v>0.14332924607119063</v>
      </c>
      <c r="R36" s="34">
        <f t="shared" si="1"/>
        <v>9.5072880844620455E-2</v>
      </c>
      <c r="S36" s="8">
        <f t="shared" si="1"/>
        <v>0.10382915981473785</v>
      </c>
    </row>
    <row r="37" spans="7:19">
      <c r="G37" s="11">
        <v>14</v>
      </c>
      <c r="H37" s="122">
        <f t="shared" si="0"/>
        <v>0.13745098382466214</v>
      </c>
      <c r="I37" s="123">
        <f t="shared" si="0"/>
        <v>3.0118689167425255E-2</v>
      </c>
      <c r="J37" s="123">
        <f t="shared" si="0"/>
        <v>-1.4135914851901128E-3</v>
      </c>
      <c r="K37" s="8">
        <f t="shared" si="0"/>
        <v>0.14432856592675583</v>
      </c>
      <c r="L37" s="8">
        <f t="shared" si="0"/>
        <v>0.15382326167635321</v>
      </c>
      <c r="M37" s="42">
        <f t="shared" si="0"/>
        <v>9.228826762831735E-2</v>
      </c>
      <c r="N37" s="41">
        <f t="shared" si="1"/>
        <v>1.7196124705876295E-2</v>
      </c>
      <c r="O37" s="42">
        <f t="shared" si="1"/>
        <v>5.8567963261185206E-2</v>
      </c>
      <c r="P37" s="41">
        <f t="shared" si="1"/>
        <v>7.6668443906647996E-2</v>
      </c>
      <c r="Q37" s="42">
        <f t="shared" si="1"/>
        <v>0.15615849604451956</v>
      </c>
      <c r="R37" s="34">
        <f t="shared" si="1"/>
        <v>0.19386784578815514</v>
      </c>
      <c r="S37" s="8">
        <f t="shared" si="1"/>
        <v>0.14401830605529281</v>
      </c>
    </row>
    <row r="38" spans="7:19">
      <c r="G38" s="11">
        <v>15</v>
      </c>
      <c r="H38" s="122">
        <f t="shared" si="0"/>
        <v>0.30098557523982916</v>
      </c>
      <c r="I38" s="123">
        <f t="shared" si="0"/>
        <v>-3.1716091310132345E-2</v>
      </c>
      <c r="J38" s="123">
        <f t="shared" si="0"/>
        <v>3.0503816259365591E-3</v>
      </c>
      <c r="K38" s="8">
        <f t="shared" si="0"/>
        <v>0.16789134164274211</v>
      </c>
      <c r="L38" s="8">
        <f t="shared" si="0"/>
        <v>0.16438580981723969</v>
      </c>
      <c r="M38" s="42">
        <f t="shared" si="0"/>
        <v>8.3305615853231568E-2</v>
      </c>
      <c r="N38" s="41">
        <f t="shared" si="1"/>
        <v>0.22083528926156279</v>
      </c>
      <c r="O38" s="42">
        <f t="shared" si="1"/>
        <v>0.13845147671988556</v>
      </c>
      <c r="P38" s="41">
        <f t="shared" si="1"/>
        <v>0.35032190313633887</v>
      </c>
      <c r="Q38" s="42">
        <f t="shared" si="1"/>
        <v>0.2093699591547489</v>
      </c>
      <c r="R38" s="34">
        <f t="shared" si="1"/>
        <v>0.39249197996423257</v>
      </c>
      <c r="S38" s="8">
        <f t="shared" si="1"/>
        <v>0.13017125421701156</v>
      </c>
    </row>
  </sheetData>
  <mergeCells count="14">
    <mergeCell ref="N22:O22"/>
    <mergeCell ref="P22:Q22"/>
    <mergeCell ref="R22:S22"/>
    <mergeCell ref="H22:M22"/>
    <mergeCell ref="N3:O3"/>
    <mergeCell ref="P3:Q3"/>
    <mergeCell ref="R3:S3"/>
    <mergeCell ref="H3:M3"/>
    <mergeCell ref="A3:B3"/>
    <mergeCell ref="G1:S1"/>
    <mergeCell ref="A2:D2"/>
    <mergeCell ref="A9:A10"/>
    <mergeCell ref="C9:C10"/>
    <mergeCell ref="D9:D10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92CB-BCC1-4BAF-B43F-BC1BF22C3682}">
  <dimension ref="B2:K43"/>
  <sheetViews>
    <sheetView zoomScale="85" zoomScaleNormal="85" workbookViewId="0">
      <selection activeCell="H36" sqref="H36"/>
    </sheetView>
  </sheetViews>
  <sheetFormatPr defaultRowHeight="18"/>
  <cols>
    <col min="1" max="1" width="9" customWidth="1"/>
    <col min="4" max="4" width="11" bestFit="1" customWidth="1"/>
    <col min="5" max="5" width="10.609375" bestFit="1" customWidth="1"/>
    <col min="6" max="6" width="11.38671875" bestFit="1" customWidth="1"/>
    <col min="7" max="7" width="10" bestFit="1" customWidth="1"/>
    <col min="8" max="8" width="9.71875" bestFit="1" customWidth="1"/>
    <col min="9" max="9" width="10.38671875" bestFit="1" customWidth="1"/>
    <col min="10" max="10" width="12.109375" bestFit="1" customWidth="1"/>
    <col min="11" max="11" width="12.21875" bestFit="1" customWidth="1"/>
    <col min="16" max="16" width="21" customWidth="1"/>
  </cols>
  <sheetData>
    <row r="2" spans="2:11">
      <c r="B2" s="93" t="s">
        <v>85</v>
      </c>
    </row>
    <row r="3" spans="2:11" ht="20" thickBot="1">
      <c r="B3" s="94" t="s">
        <v>87</v>
      </c>
      <c r="C3" s="94" t="s">
        <v>88</v>
      </c>
      <c r="D3" s="95" t="s">
        <v>89</v>
      </c>
      <c r="E3" s="96" t="s">
        <v>70</v>
      </c>
      <c r="F3" s="94" t="s">
        <v>71</v>
      </c>
      <c r="G3" s="94" t="s">
        <v>72</v>
      </c>
      <c r="H3" s="94" t="s">
        <v>73</v>
      </c>
      <c r="I3" s="94" t="s">
        <v>74</v>
      </c>
      <c r="J3" s="94" t="s">
        <v>75</v>
      </c>
      <c r="K3" s="118" t="s">
        <v>86</v>
      </c>
    </row>
    <row r="4" spans="2:11" ht="18.350000000000001" thickTop="1">
      <c r="B4" s="97">
        <v>-0.498</v>
      </c>
      <c r="C4" s="97">
        <v>0</v>
      </c>
      <c r="D4" s="98">
        <v>5.0000000000000001E-3</v>
      </c>
      <c r="E4" s="103">
        <v>1.2281500000000001</v>
      </c>
      <c r="F4" s="104">
        <v>-1.059E-2</v>
      </c>
      <c r="G4" s="104">
        <v>-0.12934000000000001</v>
      </c>
      <c r="H4" s="104">
        <v>0.61358999999999997</v>
      </c>
      <c r="I4" s="104">
        <v>0.71184999999999998</v>
      </c>
      <c r="J4" s="104">
        <v>0.33189000000000002</v>
      </c>
      <c r="K4" s="104">
        <v>-1.8509999999999999E-2</v>
      </c>
    </row>
    <row r="5" spans="2:11">
      <c r="B5" s="99">
        <v>-0.498</v>
      </c>
      <c r="C5" s="99">
        <v>0</v>
      </c>
      <c r="D5" s="100">
        <v>0.01</v>
      </c>
      <c r="E5" s="105">
        <v>1.40726</v>
      </c>
      <c r="F5" s="106">
        <v>1.8620000000000001E-2</v>
      </c>
      <c r="G5" s="106">
        <v>-0.18496000000000001</v>
      </c>
      <c r="H5" s="106">
        <v>0.65559999999999996</v>
      </c>
      <c r="I5" s="106">
        <v>0.74492999999999998</v>
      </c>
      <c r="J5" s="106">
        <v>0.46206999999999998</v>
      </c>
      <c r="K5" s="106">
        <v>-2.5319999999999999E-2</v>
      </c>
    </row>
    <row r="6" spans="2:11">
      <c r="B6" s="99">
        <v>-0.498</v>
      </c>
      <c r="C6" s="99">
        <v>0</v>
      </c>
      <c r="D6" s="100">
        <v>1.4999999999999999E-2</v>
      </c>
      <c r="E6" s="105">
        <v>1.6807000000000001</v>
      </c>
      <c r="F6" s="106">
        <v>2.733E-2</v>
      </c>
      <c r="G6" s="106">
        <v>-0.24093999999999999</v>
      </c>
      <c r="H6" s="106">
        <v>0.71899999999999997</v>
      </c>
      <c r="I6" s="106">
        <v>0.75697000000000003</v>
      </c>
      <c r="J6" s="106">
        <v>0.53513999999999995</v>
      </c>
      <c r="K6" s="106">
        <v>-6.4829999999999999E-2</v>
      </c>
    </row>
    <row r="7" spans="2:11">
      <c r="B7" s="99">
        <v>-0.498</v>
      </c>
      <c r="C7" s="99">
        <v>0</v>
      </c>
      <c r="D7" s="100">
        <v>0.02</v>
      </c>
      <c r="E7" s="105">
        <v>2.0045199999999999</v>
      </c>
      <c r="F7" s="106">
        <v>3.2160000000000001E-2</v>
      </c>
      <c r="G7" s="106">
        <v>-0.30026999999999998</v>
      </c>
      <c r="H7" s="106">
        <v>0.79305000000000003</v>
      </c>
      <c r="I7" s="106">
        <v>0.74429999999999996</v>
      </c>
      <c r="J7" s="106">
        <v>0.55395000000000005</v>
      </c>
      <c r="K7" s="106">
        <v>-0.11565</v>
      </c>
    </row>
    <row r="8" spans="2:11">
      <c r="B8" s="99">
        <v>-0.498</v>
      </c>
      <c r="C8" s="99">
        <v>0</v>
      </c>
      <c r="D8" s="100">
        <v>2.5000000000000001E-2</v>
      </c>
      <c r="E8" s="105">
        <v>2.3358099999999999</v>
      </c>
      <c r="F8" s="106">
        <v>2.2429999999999999E-2</v>
      </c>
      <c r="G8" s="106">
        <v>-0.32686999999999999</v>
      </c>
      <c r="H8" s="106">
        <v>0.85</v>
      </c>
      <c r="I8" s="106">
        <v>0.73985000000000001</v>
      </c>
      <c r="J8" s="106">
        <v>0.54795000000000005</v>
      </c>
      <c r="K8" s="106">
        <v>-0.17741000000000001</v>
      </c>
    </row>
    <row r="9" spans="2:11">
      <c r="B9" s="99">
        <v>-0.498</v>
      </c>
      <c r="C9" s="99">
        <v>0</v>
      </c>
      <c r="D9" s="100">
        <v>0.03</v>
      </c>
      <c r="E9" s="105">
        <v>2.6790699999999998</v>
      </c>
      <c r="F9" s="106">
        <v>4.9439999999999998E-2</v>
      </c>
      <c r="G9" s="106">
        <v>-0.35831000000000002</v>
      </c>
      <c r="H9" s="106">
        <v>0.90720999999999996</v>
      </c>
      <c r="I9" s="106">
        <v>0.71740000000000004</v>
      </c>
      <c r="J9" s="106">
        <v>0.49275000000000002</v>
      </c>
      <c r="K9" s="106">
        <v>-0.21446999999999999</v>
      </c>
    </row>
    <row r="10" spans="2:11">
      <c r="B10" s="99">
        <v>-0.498</v>
      </c>
      <c r="C10" s="99">
        <v>0</v>
      </c>
      <c r="D10" s="100">
        <v>3.5000000000000003E-2</v>
      </c>
      <c r="E10" s="105">
        <v>2.8357299999999999</v>
      </c>
      <c r="F10" s="106">
        <v>-4.3699999999999998E-3</v>
      </c>
      <c r="G10" s="106">
        <v>-0.34226000000000001</v>
      </c>
      <c r="H10" s="106">
        <v>0.87439</v>
      </c>
      <c r="I10" s="106">
        <v>0.70352000000000003</v>
      </c>
      <c r="J10" s="106">
        <v>0.45329999999999998</v>
      </c>
      <c r="K10" s="106">
        <v>-0.18794</v>
      </c>
    </row>
    <row r="11" spans="2:11">
      <c r="B11" s="99">
        <v>-0.498</v>
      </c>
      <c r="C11" s="99">
        <v>0</v>
      </c>
      <c r="D11" s="100">
        <v>0.04</v>
      </c>
      <c r="E11" s="105">
        <v>3.0936699999999999</v>
      </c>
      <c r="F11" s="106">
        <v>-1.524E-2</v>
      </c>
      <c r="G11" s="106">
        <v>-0.33299000000000001</v>
      </c>
      <c r="H11" s="106">
        <v>0.85512999999999995</v>
      </c>
      <c r="I11" s="106">
        <v>0.70631999999999995</v>
      </c>
      <c r="J11" s="106">
        <v>0.41776000000000002</v>
      </c>
      <c r="K11" s="106">
        <v>-0.16116</v>
      </c>
    </row>
    <row r="12" spans="2:11">
      <c r="B12" s="99">
        <v>-0.498</v>
      </c>
      <c r="C12" s="99">
        <v>0</v>
      </c>
      <c r="D12" s="100">
        <v>4.4999999999999998E-2</v>
      </c>
      <c r="E12" s="105">
        <v>3.1536900000000001</v>
      </c>
      <c r="F12" s="106">
        <v>-1.84E-2</v>
      </c>
      <c r="G12" s="106">
        <v>-0.28866000000000003</v>
      </c>
      <c r="H12" s="106">
        <v>0.85529999999999995</v>
      </c>
      <c r="I12" s="106">
        <v>0.66085000000000005</v>
      </c>
      <c r="J12" s="106">
        <v>0.40432000000000001</v>
      </c>
      <c r="K12" s="106">
        <v>-0.15379000000000001</v>
      </c>
    </row>
    <row r="13" spans="2:11">
      <c r="B13" s="99">
        <v>-0.498</v>
      </c>
      <c r="C13" s="99">
        <v>0</v>
      </c>
      <c r="D13" s="100">
        <v>0.05</v>
      </c>
      <c r="E13" s="105">
        <v>3.11964</v>
      </c>
      <c r="F13" s="106">
        <v>-4.4400000000000004E-3</v>
      </c>
      <c r="G13" s="106">
        <v>-0.25330999999999998</v>
      </c>
      <c r="H13" s="106">
        <v>0.82345000000000002</v>
      </c>
      <c r="I13" s="106">
        <v>0.64095000000000002</v>
      </c>
      <c r="J13" s="106">
        <v>0.41286</v>
      </c>
      <c r="K13" s="106">
        <v>-0.16267000000000001</v>
      </c>
    </row>
    <row r="14" spans="2:11">
      <c r="B14" s="99">
        <v>-0.498</v>
      </c>
      <c r="C14" s="99">
        <v>0</v>
      </c>
      <c r="D14" s="100">
        <v>0.06</v>
      </c>
      <c r="E14" s="105">
        <v>3.31833</v>
      </c>
      <c r="F14" s="106">
        <v>-1.1900000000000001E-3</v>
      </c>
      <c r="G14" s="106">
        <v>-0.24302000000000001</v>
      </c>
      <c r="H14" s="106">
        <v>0.81145999999999996</v>
      </c>
      <c r="I14" s="106">
        <v>0.64173000000000002</v>
      </c>
      <c r="J14" s="106">
        <v>0.43008999999999997</v>
      </c>
      <c r="K14" s="106">
        <v>-0.15501999999999999</v>
      </c>
    </row>
    <row r="15" spans="2:11">
      <c r="B15" s="99">
        <v>-0.498</v>
      </c>
      <c r="C15" s="99">
        <v>0</v>
      </c>
      <c r="D15" s="100">
        <v>7.0000000000000007E-2</v>
      </c>
      <c r="E15" s="105">
        <v>3.5376599999999998</v>
      </c>
      <c r="F15" s="106">
        <v>-3.8019999999999998E-2</v>
      </c>
      <c r="G15" s="106">
        <v>-0.19034000000000001</v>
      </c>
      <c r="H15" s="106">
        <v>0.85753000000000001</v>
      </c>
      <c r="I15" s="106">
        <v>0.65119000000000005</v>
      </c>
      <c r="J15" s="106">
        <v>0.45524999999999999</v>
      </c>
      <c r="K15" s="106">
        <v>-0.17868999999999999</v>
      </c>
    </row>
    <row r="16" spans="2:11">
      <c r="B16" s="99">
        <v>-0.498</v>
      </c>
      <c r="C16" s="99">
        <v>0</v>
      </c>
      <c r="D16" s="100">
        <v>0.08</v>
      </c>
      <c r="E16" s="105">
        <v>3.6788799999999999</v>
      </c>
      <c r="F16" s="106">
        <v>-1.967E-2</v>
      </c>
      <c r="G16" s="106">
        <v>-0.19744999999999999</v>
      </c>
      <c r="H16" s="106">
        <v>0.80659999999999998</v>
      </c>
      <c r="I16" s="106">
        <v>0.67096999999999996</v>
      </c>
      <c r="J16" s="106">
        <v>0.46381</v>
      </c>
      <c r="K16" s="106">
        <v>-0.17172999999999999</v>
      </c>
    </row>
    <row r="17" spans="2:11">
      <c r="B17" s="99">
        <v>-0.498</v>
      </c>
      <c r="C17" s="99">
        <v>0</v>
      </c>
      <c r="D17" s="100">
        <v>0.09</v>
      </c>
      <c r="E17" s="105">
        <v>3.74126</v>
      </c>
      <c r="F17" s="106">
        <v>-9.2899999999999996E-3</v>
      </c>
      <c r="G17" s="106">
        <v>-0.18962000000000001</v>
      </c>
      <c r="H17" s="106">
        <v>0.85485999999999995</v>
      </c>
      <c r="I17" s="106">
        <v>0.65185000000000004</v>
      </c>
      <c r="J17" s="106">
        <v>0.46426000000000001</v>
      </c>
      <c r="K17" s="106">
        <v>-0.16672999999999999</v>
      </c>
    </row>
    <row r="18" spans="2:11">
      <c r="B18" s="99">
        <v>-0.498</v>
      </c>
      <c r="C18" s="99">
        <v>0</v>
      </c>
      <c r="D18" s="100">
        <v>0.1</v>
      </c>
      <c r="E18" s="105">
        <v>3.8282799999999999</v>
      </c>
      <c r="F18" s="106">
        <v>-1.1520000000000001E-2</v>
      </c>
      <c r="G18" s="106">
        <v>-0.16591</v>
      </c>
      <c r="H18" s="106">
        <v>0.80513000000000001</v>
      </c>
      <c r="I18" s="106">
        <v>0.63421000000000005</v>
      </c>
      <c r="J18" s="106">
        <v>0.47738999999999998</v>
      </c>
      <c r="K18" s="106">
        <v>-0.16897000000000001</v>
      </c>
    </row>
    <row r="19" spans="2:11">
      <c r="B19" s="99">
        <v>-0.498</v>
      </c>
      <c r="C19" s="99">
        <v>0</v>
      </c>
      <c r="D19" s="100">
        <v>0.12</v>
      </c>
      <c r="E19" s="105">
        <v>3.9243600000000001</v>
      </c>
      <c r="F19" s="106">
        <v>-8.7399999999999995E-3</v>
      </c>
      <c r="G19" s="106">
        <v>-0.14222000000000001</v>
      </c>
      <c r="H19" s="106">
        <v>0.84211000000000003</v>
      </c>
      <c r="I19" s="106">
        <v>0.64834999999999998</v>
      </c>
      <c r="J19" s="106">
        <v>0.48107</v>
      </c>
      <c r="K19" s="106">
        <v>-0.1888</v>
      </c>
    </row>
    <row r="20" spans="2:11">
      <c r="B20" s="99">
        <v>-0.498</v>
      </c>
      <c r="C20" s="99">
        <v>0</v>
      </c>
      <c r="D20" s="100">
        <v>0.14000000000000001</v>
      </c>
      <c r="E20" s="105">
        <v>4.1132600000000004</v>
      </c>
      <c r="F20" s="106">
        <v>-2.537E-2</v>
      </c>
      <c r="G20" s="106">
        <v>-0.17154</v>
      </c>
      <c r="H20" s="106">
        <v>0.84450999999999998</v>
      </c>
      <c r="I20" s="106">
        <v>0.63505</v>
      </c>
      <c r="J20" s="106">
        <v>0.49481999999999998</v>
      </c>
      <c r="K20" s="106">
        <v>-0.19764999999999999</v>
      </c>
    </row>
    <row r="21" spans="2:11">
      <c r="B21" s="99">
        <v>-0.498</v>
      </c>
      <c r="C21" s="99">
        <v>0</v>
      </c>
      <c r="D21" s="100">
        <v>0.16</v>
      </c>
      <c r="E21" s="105">
        <v>4.2474400000000001</v>
      </c>
      <c r="F21" s="106">
        <v>-2.682E-2</v>
      </c>
      <c r="G21" s="106">
        <v>-0.14011999999999999</v>
      </c>
      <c r="H21" s="106">
        <v>0.81645000000000001</v>
      </c>
      <c r="I21" s="106">
        <v>0.63214000000000004</v>
      </c>
      <c r="J21" s="106">
        <v>0.51895999999999998</v>
      </c>
      <c r="K21" s="106">
        <v>-0.22824</v>
      </c>
    </row>
    <row r="22" spans="2:11">
      <c r="B22" s="99">
        <v>-0.498</v>
      </c>
      <c r="C22" s="99">
        <v>0</v>
      </c>
      <c r="D22" s="100">
        <v>0.18</v>
      </c>
      <c r="E22" s="105">
        <v>4.3574400000000004</v>
      </c>
      <c r="F22" s="106">
        <v>-7.22E-2</v>
      </c>
      <c r="G22" s="106">
        <v>-0.15816</v>
      </c>
      <c r="H22" s="106">
        <v>0.85048999999999997</v>
      </c>
      <c r="I22" s="106">
        <v>0.61738000000000004</v>
      </c>
      <c r="J22" s="106">
        <v>0.51800000000000002</v>
      </c>
      <c r="K22" s="106">
        <v>-0.21031</v>
      </c>
    </row>
    <row r="23" spans="2:11">
      <c r="B23" s="99">
        <v>-0.498</v>
      </c>
      <c r="C23" s="99">
        <v>0</v>
      </c>
      <c r="D23" s="100">
        <v>0.2</v>
      </c>
      <c r="E23" s="105">
        <v>4.3858899999999998</v>
      </c>
      <c r="F23" s="106">
        <v>-2.1559999999999999E-2</v>
      </c>
      <c r="G23" s="106">
        <v>-0.13894999999999999</v>
      </c>
      <c r="H23" s="106">
        <v>0.84216999999999997</v>
      </c>
      <c r="I23" s="106">
        <v>0.61026999999999998</v>
      </c>
      <c r="J23" s="106">
        <v>0.54737000000000002</v>
      </c>
      <c r="K23" s="106">
        <v>-0.26062000000000002</v>
      </c>
    </row>
    <row r="24" spans="2:11">
      <c r="B24" s="99">
        <v>-0.498</v>
      </c>
      <c r="C24" s="99">
        <v>0</v>
      </c>
      <c r="D24" s="100">
        <v>0.22</v>
      </c>
      <c r="E24" s="105">
        <v>4.49498</v>
      </c>
      <c r="F24" s="106">
        <v>-3.8969999999999998E-2</v>
      </c>
      <c r="G24" s="106">
        <v>-0.15440000000000001</v>
      </c>
      <c r="H24" s="106">
        <v>0.84677000000000002</v>
      </c>
      <c r="I24" s="106">
        <v>0.61636999999999997</v>
      </c>
      <c r="J24" s="106">
        <v>0.52498999999999996</v>
      </c>
      <c r="K24" s="106">
        <v>-0.24318000000000001</v>
      </c>
    </row>
    <row r="25" spans="2:11">
      <c r="B25" s="99">
        <v>-0.498</v>
      </c>
      <c r="C25" s="99">
        <v>0</v>
      </c>
      <c r="D25" s="100">
        <v>0.24</v>
      </c>
      <c r="E25" s="105">
        <v>4.6687700000000003</v>
      </c>
      <c r="F25" s="106">
        <v>-7.4800000000000005E-2</v>
      </c>
      <c r="G25" s="106">
        <v>-0.14277999999999999</v>
      </c>
      <c r="H25" s="106">
        <v>0.80533999999999994</v>
      </c>
      <c r="I25" s="106">
        <v>0.61456</v>
      </c>
      <c r="J25" s="106">
        <v>0.52846000000000004</v>
      </c>
      <c r="K25" s="106">
        <v>-0.25657000000000002</v>
      </c>
    </row>
    <row r="26" spans="2:11">
      <c r="B26" s="99">
        <v>-0.498</v>
      </c>
      <c r="C26" s="99">
        <v>0</v>
      </c>
      <c r="D26" s="100">
        <v>0.26</v>
      </c>
      <c r="E26" s="105">
        <v>4.7039400000000002</v>
      </c>
      <c r="F26" s="106">
        <v>-4.5809999999999997E-2</v>
      </c>
      <c r="G26" s="106">
        <v>-0.14252999999999999</v>
      </c>
      <c r="H26" s="106">
        <v>0.84404999999999997</v>
      </c>
      <c r="I26" s="106">
        <v>0.59453999999999996</v>
      </c>
      <c r="J26" s="106">
        <v>0.52490000000000003</v>
      </c>
      <c r="K26" s="106">
        <v>-0.23955000000000001</v>
      </c>
    </row>
    <row r="27" spans="2:11">
      <c r="B27" s="99">
        <v>-0.498</v>
      </c>
      <c r="C27" s="99">
        <v>0</v>
      </c>
      <c r="D27" s="100">
        <v>0.28000000000000003</v>
      </c>
      <c r="E27" s="105">
        <v>4.90876</v>
      </c>
      <c r="F27" s="106">
        <v>-3.5709999999999999E-2</v>
      </c>
      <c r="G27" s="106">
        <v>-0.16991000000000001</v>
      </c>
      <c r="H27" s="106">
        <v>0.81508999999999998</v>
      </c>
      <c r="I27" s="106">
        <v>0.56083000000000005</v>
      </c>
      <c r="J27" s="106">
        <v>0.52173000000000003</v>
      </c>
      <c r="K27" s="106">
        <v>-0.22986999999999999</v>
      </c>
    </row>
    <row r="28" spans="2:11">
      <c r="B28" s="99">
        <v>-0.498</v>
      </c>
      <c r="C28" s="99">
        <v>0</v>
      </c>
      <c r="D28" s="100">
        <v>0.3</v>
      </c>
      <c r="E28" s="105">
        <v>4.8822700000000001</v>
      </c>
      <c r="F28" s="106">
        <v>-6.5589999999999996E-2</v>
      </c>
      <c r="G28" s="106">
        <v>-0.15026999999999999</v>
      </c>
      <c r="H28" s="106">
        <v>0.79764000000000002</v>
      </c>
      <c r="I28" s="106">
        <v>0.58192999999999995</v>
      </c>
      <c r="J28" s="106">
        <v>0.53805000000000003</v>
      </c>
      <c r="K28" s="106">
        <v>-0.25074999999999997</v>
      </c>
    </row>
    <row r="29" spans="2:11">
      <c r="B29" s="99">
        <v>-0.498</v>
      </c>
      <c r="C29" s="99">
        <v>0</v>
      </c>
      <c r="D29" s="100">
        <v>0.32</v>
      </c>
      <c r="E29" s="105">
        <v>4.9784100000000002</v>
      </c>
      <c r="F29" s="106">
        <v>-5.8720000000000001E-2</v>
      </c>
      <c r="G29" s="106">
        <v>-0.14680000000000001</v>
      </c>
      <c r="H29" s="106">
        <v>0.80891000000000002</v>
      </c>
      <c r="I29" s="106">
        <v>0.55098000000000003</v>
      </c>
      <c r="J29" s="106">
        <v>0.50917999999999997</v>
      </c>
      <c r="K29" s="106">
        <v>-0.21712000000000001</v>
      </c>
    </row>
    <row r="30" spans="2:11">
      <c r="B30" s="99">
        <v>-0.498</v>
      </c>
      <c r="C30" s="99">
        <v>0</v>
      </c>
      <c r="D30" s="100">
        <v>0.34</v>
      </c>
      <c r="E30" s="105">
        <v>5.0944700000000003</v>
      </c>
      <c r="F30" s="106">
        <v>-5.8029999999999998E-2</v>
      </c>
      <c r="G30" s="106">
        <v>-0.15021000000000001</v>
      </c>
      <c r="H30" s="106">
        <v>0.81754000000000004</v>
      </c>
      <c r="I30" s="106">
        <v>0.55896000000000001</v>
      </c>
      <c r="J30" s="106">
        <v>0.51244000000000001</v>
      </c>
      <c r="K30" s="106">
        <v>-0.22993</v>
      </c>
    </row>
    <row r="31" spans="2:11">
      <c r="B31" s="99">
        <v>-0.498</v>
      </c>
      <c r="C31" s="99">
        <v>0</v>
      </c>
      <c r="D31" s="100">
        <v>0.36</v>
      </c>
      <c r="E31" s="105">
        <v>5.2395800000000001</v>
      </c>
      <c r="F31" s="106">
        <v>-7.0400000000000004E-2</v>
      </c>
      <c r="G31" s="106">
        <v>-0.16807</v>
      </c>
      <c r="H31" s="106">
        <v>0.74075999999999997</v>
      </c>
      <c r="I31" s="106">
        <v>0.53815000000000002</v>
      </c>
      <c r="J31" s="106">
        <v>0.48529</v>
      </c>
      <c r="K31" s="106">
        <v>-0.20363000000000001</v>
      </c>
    </row>
    <row r="32" spans="2:11">
      <c r="B32" s="99">
        <v>-0.498</v>
      </c>
      <c r="C32" s="99">
        <v>0</v>
      </c>
      <c r="D32" s="100">
        <v>0.38</v>
      </c>
      <c r="E32" s="105">
        <v>5.2900400000000003</v>
      </c>
      <c r="F32" s="106">
        <v>-4.6620000000000002E-2</v>
      </c>
      <c r="G32" s="106">
        <v>-0.16822000000000001</v>
      </c>
      <c r="H32" s="106">
        <v>0.75224000000000002</v>
      </c>
      <c r="I32" s="106">
        <v>0.50466999999999995</v>
      </c>
      <c r="J32" s="106">
        <v>0.47432999999999997</v>
      </c>
      <c r="K32" s="106">
        <v>-0.18529999999999999</v>
      </c>
    </row>
    <row r="33" spans="2:11">
      <c r="B33" s="99">
        <v>-0.498</v>
      </c>
      <c r="C33" s="99">
        <v>0</v>
      </c>
      <c r="D33" s="100">
        <v>0.4</v>
      </c>
      <c r="E33" s="105">
        <v>5.3846100000000003</v>
      </c>
      <c r="F33" s="106">
        <v>-7.6480000000000006E-2</v>
      </c>
      <c r="G33" s="106">
        <v>-0.16405</v>
      </c>
      <c r="H33" s="106">
        <v>0.72099999999999997</v>
      </c>
      <c r="I33" s="106">
        <v>0.50980000000000003</v>
      </c>
      <c r="J33" s="106">
        <v>0.48168</v>
      </c>
      <c r="K33" s="106">
        <v>-0.19678999999999999</v>
      </c>
    </row>
    <row r="34" spans="2:11">
      <c r="B34" s="99">
        <v>-0.498</v>
      </c>
      <c r="C34" s="99">
        <v>0</v>
      </c>
      <c r="D34" s="100">
        <v>0.42</v>
      </c>
      <c r="E34" s="105">
        <v>5.4337099999999996</v>
      </c>
      <c r="F34" s="106">
        <v>-7.8189999999999996E-2</v>
      </c>
      <c r="G34" s="106">
        <v>-0.16611999999999999</v>
      </c>
      <c r="H34" s="106">
        <v>0.70104999999999995</v>
      </c>
      <c r="I34" s="106">
        <v>0.51268999999999998</v>
      </c>
      <c r="J34" s="106">
        <v>0.47086</v>
      </c>
      <c r="K34" s="106">
        <v>-0.17352999999999999</v>
      </c>
    </row>
    <row r="35" spans="2:11">
      <c r="B35" s="99">
        <v>-0.498</v>
      </c>
      <c r="C35" s="99">
        <v>0</v>
      </c>
      <c r="D35" s="100">
        <v>0.44</v>
      </c>
      <c r="E35" s="105">
        <v>5.4511099999999999</v>
      </c>
      <c r="F35" s="106">
        <v>-5.8770000000000003E-2</v>
      </c>
      <c r="G35" s="106">
        <v>-0.17699999999999999</v>
      </c>
      <c r="H35" s="106">
        <v>0.66678999999999999</v>
      </c>
      <c r="I35" s="106">
        <v>0.49914999999999998</v>
      </c>
      <c r="J35" s="106">
        <v>0.47254000000000002</v>
      </c>
      <c r="K35" s="106">
        <v>-0.17990999999999999</v>
      </c>
    </row>
    <row r="36" spans="2:11">
      <c r="B36" s="99">
        <v>-0.498</v>
      </c>
      <c r="C36" s="99">
        <v>0</v>
      </c>
      <c r="D36" s="100">
        <v>0.46</v>
      </c>
      <c r="E36" s="105">
        <v>5.5777400000000004</v>
      </c>
      <c r="F36" s="106">
        <v>-4.9180000000000001E-2</v>
      </c>
      <c r="G36" s="106">
        <v>-0.19499</v>
      </c>
      <c r="H36" s="106">
        <v>0.63800999999999997</v>
      </c>
      <c r="I36" s="106">
        <v>0.45709</v>
      </c>
      <c r="J36" s="106">
        <v>0.48820999999999998</v>
      </c>
      <c r="K36" s="106">
        <v>-0.16964000000000001</v>
      </c>
    </row>
    <row r="37" spans="2:11">
      <c r="B37" s="99">
        <v>-0.498</v>
      </c>
      <c r="C37" s="99">
        <v>0</v>
      </c>
      <c r="D37" s="100">
        <v>0.48</v>
      </c>
      <c r="E37" s="105">
        <v>5.6139900000000003</v>
      </c>
      <c r="F37" s="106">
        <v>-6.166E-2</v>
      </c>
      <c r="G37" s="106">
        <v>-0.17838999999999999</v>
      </c>
      <c r="H37" s="106">
        <v>0.59977000000000003</v>
      </c>
      <c r="I37" s="106">
        <v>0.44933000000000001</v>
      </c>
      <c r="J37" s="106">
        <v>0.46425</v>
      </c>
      <c r="K37" s="106">
        <v>-0.13316</v>
      </c>
    </row>
    <row r="38" spans="2:11">
      <c r="B38" s="99">
        <v>-0.498</v>
      </c>
      <c r="C38" s="99">
        <v>0</v>
      </c>
      <c r="D38" s="100">
        <v>0.5</v>
      </c>
      <c r="E38" s="105">
        <v>5.61334</v>
      </c>
      <c r="F38" s="106">
        <v>-5.246E-2</v>
      </c>
      <c r="G38" s="106">
        <v>-0.1986</v>
      </c>
      <c r="H38" s="106">
        <v>0.59075</v>
      </c>
      <c r="I38" s="106">
        <v>0.44766</v>
      </c>
      <c r="J38" s="106">
        <v>0.45973999999999998</v>
      </c>
      <c r="K38" s="106">
        <v>-0.13124</v>
      </c>
    </row>
    <row r="39" spans="2:11">
      <c r="B39" s="99">
        <v>-0.498</v>
      </c>
      <c r="C39" s="99">
        <v>0</v>
      </c>
      <c r="D39" s="100">
        <v>0.52</v>
      </c>
      <c r="E39" s="105">
        <v>5.7168299999999999</v>
      </c>
      <c r="F39" s="106">
        <v>-2.2790000000000001E-2</v>
      </c>
      <c r="G39" s="106">
        <v>-0.18429999999999999</v>
      </c>
      <c r="H39" s="106">
        <v>0.53527000000000002</v>
      </c>
      <c r="I39" s="106">
        <v>0.42681999999999998</v>
      </c>
      <c r="J39" s="106">
        <v>0.46034000000000003</v>
      </c>
      <c r="K39" s="106">
        <v>-0.1086</v>
      </c>
    </row>
    <row r="40" spans="2:11">
      <c r="B40" s="99">
        <v>-0.498</v>
      </c>
      <c r="C40" s="99">
        <v>0</v>
      </c>
      <c r="D40" s="100">
        <v>0.54</v>
      </c>
      <c r="E40" s="105">
        <v>5.67136</v>
      </c>
      <c r="F40" s="106">
        <v>-3.1440000000000003E-2</v>
      </c>
      <c r="G40" s="106">
        <v>-0.17591000000000001</v>
      </c>
      <c r="H40" s="106">
        <v>0.57399</v>
      </c>
      <c r="I40" s="106">
        <v>0.43354999999999999</v>
      </c>
      <c r="J40" s="106">
        <v>0.46257999999999999</v>
      </c>
      <c r="K40" s="106">
        <v>-0.11423999999999999</v>
      </c>
    </row>
    <row r="41" spans="2:11">
      <c r="B41" s="99">
        <v>-0.498</v>
      </c>
      <c r="C41" s="99">
        <v>0</v>
      </c>
      <c r="D41" s="100">
        <v>0.56000000000000005</v>
      </c>
      <c r="E41" s="105">
        <v>5.6797800000000001</v>
      </c>
      <c r="F41" s="106">
        <v>-1.941E-2</v>
      </c>
      <c r="G41" s="106">
        <v>-0.2011</v>
      </c>
      <c r="H41" s="106">
        <v>0.54340999999999995</v>
      </c>
      <c r="I41" s="106">
        <v>0.43173</v>
      </c>
      <c r="J41" s="106">
        <v>0.44684000000000001</v>
      </c>
      <c r="K41" s="106">
        <v>-6.4009999999999997E-2</v>
      </c>
    </row>
    <row r="42" spans="2:11">
      <c r="B42" s="99">
        <v>-0.498</v>
      </c>
      <c r="C42" s="99">
        <v>0</v>
      </c>
      <c r="D42" s="100">
        <v>0.57999999999999996</v>
      </c>
      <c r="E42" s="105">
        <v>5.6581200000000003</v>
      </c>
      <c r="F42" s="106">
        <v>-1.093E-2</v>
      </c>
      <c r="G42" s="106">
        <v>-0.20949000000000001</v>
      </c>
      <c r="H42" s="106">
        <v>0.52407999999999999</v>
      </c>
      <c r="I42" s="106">
        <v>0.41215000000000002</v>
      </c>
      <c r="J42" s="106">
        <v>0.43853999999999999</v>
      </c>
      <c r="K42" s="106">
        <v>-5.5210000000000002E-2</v>
      </c>
    </row>
    <row r="43" spans="2:11">
      <c r="B43" s="101">
        <v>-0.498</v>
      </c>
      <c r="C43" s="101">
        <v>0</v>
      </c>
      <c r="D43" s="102">
        <v>0.6</v>
      </c>
      <c r="E43" s="107">
        <v>5.6539200000000003</v>
      </c>
      <c r="F43" s="108">
        <v>-2.2699999999999999E-3</v>
      </c>
      <c r="G43" s="108">
        <v>-0.20465</v>
      </c>
      <c r="H43" s="108">
        <v>0.52534000000000003</v>
      </c>
      <c r="I43" s="108">
        <v>0.41932000000000003</v>
      </c>
      <c r="J43" s="108">
        <v>0.43540000000000001</v>
      </c>
      <c r="K43" s="108">
        <v>-4.7550000000000002E-2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Measurement  Point </vt:lpstr>
      <vt:lpstr>Field Measurement</vt:lpstr>
      <vt:lpstr>Wind tunnel experiment</vt:lpstr>
      <vt:lpstr>Approaching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NM5-user</dc:creator>
  <cp:lastModifiedBy>Hideki Kikumoto</cp:lastModifiedBy>
  <dcterms:created xsi:type="dcterms:W3CDTF">2022-07-02T05:20:00Z</dcterms:created>
  <dcterms:modified xsi:type="dcterms:W3CDTF">2022-08-16T08:32:31Z</dcterms:modified>
</cp:coreProperties>
</file>