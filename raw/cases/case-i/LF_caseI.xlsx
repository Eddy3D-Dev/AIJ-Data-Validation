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C:\Users\ytomi\Dropbox\My Documents\学会\AIJ_屋外空気環境\2017ガイドブック改訂\ベンチマーク実験データ集_ガイドブック改定に伴う修正\"/>
    </mc:Choice>
  </mc:AlternateContent>
  <xr:revisionPtr revIDLastSave="0" documentId="8_{CDE7AE75-446D-4ACE-B293-8CB8E540C0A7}" xr6:coauthVersionLast="45" xr6:coauthVersionMax="45" xr10:uidLastSave="{00000000-0000-0000-0000-000000000000}"/>
  <bookViews>
    <workbookView xWindow="0" yWindow="135" windowWidth="28800" windowHeight="15240" activeTab="2"/>
  </bookViews>
  <sheets>
    <sheet name="Inflow boundary layer" sheetId="1" r:id="rId1"/>
    <sheet name="Velocity measurement" sheetId="2" r:id="rId2"/>
    <sheet name="Concentration_measurement" sheetId="4" r:id="rId3"/>
  </sheets>
  <calcPr calcId="181029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" i="4" l="1"/>
  <c r="I3" i="2"/>
  <c r="L97" i="2"/>
  <c r="K97" i="2"/>
  <c r="J97" i="2"/>
  <c r="I97" i="2"/>
  <c r="A97" i="2"/>
  <c r="L96" i="2"/>
  <c r="K96" i="2"/>
  <c r="J96" i="2"/>
  <c r="I96" i="2"/>
  <c r="L95" i="2"/>
  <c r="K95" i="2"/>
  <c r="J95" i="2"/>
  <c r="I95" i="2"/>
  <c r="L94" i="2"/>
  <c r="K94" i="2"/>
  <c r="J94" i="2"/>
  <c r="I94" i="2"/>
  <c r="L93" i="2"/>
  <c r="K93" i="2"/>
  <c r="J93" i="2"/>
  <c r="I93" i="2"/>
  <c r="L92" i="2"/>
  <c r="K92" i="2"/>
  <c r="J92" i="2"/>
  <c r="I92" i="2"/>
  <c r="L91" i="2"/>
  <c r="K91" i="2"/>
  <c r="J91" i="2"/>
  <c r="I91" i="2"/>
  <c r="L90" i="2"/>
  <c r="K90" i="2"/>
  <c r="J90" i="2"/>
  <c r="I90" i="2"/>
  <c r="L89" i="2"/>
  <c r="K89" i="2"/>
  <c r="J89" i="2"/>
  <c r="I89" i="2"/>
  <c r="L88" i="2"/>
  <c r="K88" i="2"/>
  <c r="J88" i="2"/>
  <c r="I88" i="2"/>
  <c r="L87" i="2"/>
  <c r="K87" i="2"/>
  <c r="J87" i="2"/>
  <c r="I87" i="2"/>
  <c r="L86" i="2"/>
  <c r="K86" i="2"/>
  <c r="J86" i="2"/>
  <c r="I86" i="2"/>
  <c r="L85" i="2"/>
  <c r="K85" i="2"/>
  <c r="J85" i="2"/>
  <c r="I85" i="2"/>
  <c r="L84" i="2"/>
  <c r="K84" i="2"/>
  <c r="J84" i="2"/>
  <c r="I84" i="2"/>
  <c r="L83" i="2"/>
  <c r="K83" i="2"/>
  <c r="J83" i="2"/>
  <c r="I83" i="2"/>
  <c r="L82" i="2"/>
  <c r="K82" i="2"/>
  <c r="J82" i="2"/>
  <c r="I82" i="2"/>
  <c r="L81" i="2"/>
  <c r="K81" i="2"/>
  <c r="J81" i="2"/>
  <c r="I81" i="2"/>
  <c r="L80" i="2"/>
  <c r="K80" i="2"/>
  <c r="J80" i="2"/>
  <c r="I80" i="2"/>
  <c r="L79" i="2"/>
  <c r="K79" i="2"/>
  <c r="J79" i="2"/>
  <c r="I79" i="2"/>
  <c r="L78" i="2"/>
  <c r="K78" i="2"/>
  <c r="J78" i="2"/>
  <c r="I78" i="2"/>
  <c r="L77" i="2"/>
  <c r="K77" i="2"/>
  <c r="J77" i="2"/>
  <c r="I77" i="2"/>
  <c r="L76" i="2"/>
  <c r="K76" i="2"/>
  <c r="J76" i="2"/>
  <c r="I76" i="2"/>
  <c r="L75" i="2"/>
  <c r="K75" i="2"/>
  <c r="J75" i="2"/>
  <c r="I75" i="2"/>
  <c r="L74" i="2"/>
  <c r="K74" i="2"/>
  <c r="J74" i="2"/>
  <c r="I74" i="2"/>
  <c r="L73" i="2"/>
  <c r="K73" i="2"/>
  <c r="J73" i="2"/>
  <c r="I73" i="2"/>
  <c r="L72" i="2"/>
  <c r="K72" i="2"/>
  <c r="J72" i="2"/>
  <c r="I72" i="2"/>
  <c r="L71" i="2"/>
  <c r="K71" i="2"/>
  <c r="J71" i="2"/>
  <c r="I71" i="2"/>
  <c r="L70" i="2"/>
  <c r="K70" i="2"/>
  <c r="J70" i="2"/>
  <c r="I70" i="2"/>
  <c r="L69" i="2"/>
  <c r="K69" i="2"/>
  <c r="J69" i="2"/>
  <c r="I69" i="2"/>
  <c r="L68" i="2"/>
  <c r="K68" i="2"/>
  <c r="J68" i="2"/>
  <c r="I68" i="2"/>
  <c r="L67" i="2"/>
  <c r="K67" i="2"/>
  <c r="J67" i="2"/>
  <c r="I67" i="2"/>
  <c r="L66" i="2"/>
  <c r="K66" i="2"/>
  <c r="J66" i="2"/>
  <c r="I66" i="2"/>
  <c r="L65" i="2"/>
  <c r="K65" i="2"/>
  <c r="J65" i="2"/>
  <c r="I65" i="2"/>
  <c r="L64" i="2"/>
  <c r="K64" i="2"/>
  <c r="J64" i="2"/>
  <c r="I64" i="2"/>
  <c r="L63" i="2"/>
  <c r="K63" i="2"/>
  <c r="J63" i="2"/>
  <c r="I63" i="2"/>
  <c r="L62" i="2"/>
  <c r="K62" i="2"/>
  <c r="J62" i="2"/>
  <c r="I62" i="2"/>
  <c r="L61" i="2"/>
  <c r="K61" i="2"/>
  <c r="J61" i="2"/>
  <c r="I61" i="2"/>
  <c r="L60" i="2"/>
  <c r="K60" i="2"/>
  <c r="J60" i="2"/>
  <c r="I60" i="2"/>
  <c r="L59" i="2"/>
  <c r="K59" i="2"/>
  <c r="J59" i="2"/>
  <c r="I59" i="2"/>
  <c r="L58" i="2"/>
  <c r="K58" i="2"/>
  <c r="J58" i="2"/>
  <c r="I58" i="2"/>
  <c r="L57" i="2"/>
  <c r="K57" i="2"/>
  <c r="J57" i="2"/>
  <c r="I57" i="2"/>
  <c r="L56" i="2"/>
  <c r="K56" i="2"/>
  <c r="J56" i="2"/>
  <c r="I56" i="2"/>
  <c r="L55" i="2"/>
  <c r="K55" i="2"/>
  <c r="J55" i="2"/>
  <c r="I55" i="2"/>
  <c r="L54" i="2"/>
  <c r="K54" i="2"/>
  <c r="J54" i="2"/>
  <c r="I54" i="2"/>
  <c r="L53" i="2"/>
  <c r="K53" i="2"/>
  <c r="J53" i="2"/>
  <c r="I53" i="2"/>
  <c r="L52" i="2"/>
  <c r="K52" i="2"/>
  <c r="J52" i="2"/>
  <c r="I52" i="2"/>
  <c r="L51" i="2"/>
  <c r="K51" i="2"/>
  <c r="J51" i="2"/>
  <c r="I51" i="2"/>
  <c r="L50" i="2"/>
  <c r="K50" i="2"/>
  <c r="J50" i="2"/>
  <c r="I50" i="2"/>
  <c r="L49" i="2"/>
  <c r="K49" i="2"/>
  <c r="J49" i="2"/>
  <c r="I49" i="2"/>
  <c r="L48" i="2"/>
  <c r="K48" i="2"/>
  <c r="J48" i="2"/>
  <c r="I48" i="2"/>
  <c r="L47" i="2"/>
  <c r="K47" i="2"/>
  <c r="J47" i="2"/>
  <c r="I47" i="2"/>
  <c r="L46" i="2"/>
  <c r="K46" i="2"/>
  <c r="J46" i="2"/>
  <c r="I46" i="2"/>
  <c r="L45" i="2"/>
  <c r="K45" i="2"/>
  <c r="J45" i="2"/>
  <c r="I45" i="2"/>
  <c r="L44" i="2"/>
  <c r="K44" i="2"/>
  <c r="J44" i="2"/>
  <c r="I44" i="2"/>
  <c r="L43" i="2"/>
  <c r="K43" i="2"/>
  <c r="J43" i="2"/>
  <c r="I43" i="2"/>
  <c r="L42" i="2"/>
  <c r="K42" i="2"/>
  <c r="J42" i="2"/>
  <c r="I42" i="2"/>
  <c r="L41" i="2"/>
  <c r="K41" i="2"/>
  <c r="J41" i="2"/>
  <c r="I41" i="2"/>
  <c r="L40" i="2"/>
  <c r="K40" i="2"/>
  <c r="J40" i="2"/>
  <c r="I40" i="2"/>
  <c r="L39" i="2"/>
  <c r="K39" i="2"/>
  <c r="J39" i="2"/>
  <c r="I39" i="2"/>
  <c r="L38" i="2"/>
  <c r="K38" i="2"/>
  <c r="J38" i="2"/>
  <c r="I38" i="2"/>
  <c r="L37" i="2"/>
  <c r="K37" i="2"/>
  <c r="J37" i="2"/>
  <c r="I37" i="2"/>
  <c r="L36" i="2"/>
  <c r="K36" i="2"/>
  <c r="J36" i="2"/>
  <c r="I36" i="2"/>
  <c r="L35" i="2"/>
  <c r="K35" i="2"/>
  <c r="J35" i="2"/>
  <c r="I35" i="2"/>
  <c r="L34" i="2"/>
  <c r="K34" i="2"/>
  <c r="J34" i="2"/>
  <c r="I34" i="2"/>
  <c r="L33" i="2"/>
  <c r="K33" i="2"/>
  <c r="J33" i="2"/>
  <c r="I33" i="2"/>
  <c r="L32" i="2"/>
  <c r="K32" i="2"/>
  <c r="J32" i="2"/>
  <c r="I32" i="2"/>
  <c r="L31" i="2"/>
  <c r="K31" i="2"/>
  <c r="J31" i="2"/>
  <c r="I31" i="2"/>
  <c r="L30" i="2"/>
  <c r="K30" i="2"/>
  <c r="J30" i="2"/>
  <c r="I30" i="2"/>
  <c r="L29" i="2"/>
  <c r="K29" i="2"/>
  <c r="J29" i="2"/>
  <c r="I29" i="2"/>
  <c r="L28" i="2"/>
  <c r="K28" i="2"/>
  <c r="J28" i="2"/>
  <c r="I28" i="2"/>
  <c r="L27" i="2"/>
  <c r="K27" i="2"/>
  <c r="J27" i="2"/>
  <c r="I27" i="2"/>
  <c r="L26" i="2"/>
  <c r="K26" i="2"/>
  <c r="J26" i="2"/>
  <c r="I26" i="2"/>
  <c r="L25" i="2"/>
  <c r="K25" i="2"/>
  <c r="J25" i="2"/>
  <c r="I25" i="2"/>
  <c r="L24" i="2"/>
  <c r="K24" i="2"/>
  <c r="J24" i="2"/>
  <c r="I24" i="2"/>
  <c r="L23" i="2"/>
  <c r="K23" i="2"/>
  <c r="J23" i="2"/>
  <c r="I23" i="2"/>
  <c r="L22" i="2"/>
  <c r="K22" i="2"/>
  <c r="J22" i="2"/>
  <c r="I22" i="2"/>
  <c r="L21" i="2"/>
  <c r="K21" i="2"/>
  <c r="J21" i="2"/>
  <c r="I21" i="2"/>
  <c r="L20" i="2"/>
  <c r="K20" i="2"/>
  <c r="J20" i="2"/>
  <c r="I20" i="2"/>
  <c r="L19" i="2"/>
  <c r="K19" i="2"/>
  <c r="J19" i="2"/>
  <c r="I19" i="2"/>
  <c r="L18" i="2"/>
  <c r="K18" i="2"/>
  <c r="J18" i="2"/>
  <c r="I18" i="2"/>
  <c r="L17" i="2"/>
  <c r="K17" i="2"/>
  <c r="J17" i="2"/>
  <c r="I17" i="2"/>
  <c r="L16" i="2"/>
  <c r="K16" i="2"/>
  <c r="J16" i="2"/>
  <c r="I16" i="2"/>
  <c r="L15" i="2"/>
  <c r="K15" i="2"/>
  <c r="J15" i="2"/>
  <c r="I15" i="2"/>
  <c r="L14" i="2"/>
  <c r="K14" i="2"/>
  <c r="J14" i="2"/>
  <c r="I14" i="2"/>
  <c r="L13" i="2"/>
  <c r="K13" i="2"/>
  <c r="J13" i="2"/>
  <c r="I13" i="2"/>
  <c r="L12" i="2"/>
  <c r="K12" i="2"/>
  <c r="J12" i="2"/>
  <c r="I12" i="2"/>
  <c r="L11" i="2"/>
  <c r="K11" i="2"/>
  <c r="J11" i="2"/>
  <c r="I11" i="2"/>
  <c r="L10" i="2"/>
  <c r="K10" i="2"/>
  <c r="J10" i="2"/>
  <c r="I10" i="2"/>
  <c r="L9" i="2"/>
  <c r="K9" i="2"/>
  <c r="J9" i="2"/>
  <c r="I9" i="2"/>
  <c r="L8" i="2"/>
  <c r="K8" i="2"/>
  <c r="J8" i="2"/>
  <c r="I8" i="2"/>
  <c r="L7" i="2"/>
  <c r="K7" i="2"/>
  <c r="J7" i="2"/>
  <c r="I7" i="2"/>
  <c r="L6" i="2"/>
  <c r="K6" i="2"/>
  <c r="J6" i="2"/>
  <c r="I6" i="2"/>
  <c r="L5" i="2"/>
  <c r="K5" i="2"/>
  <c r="J5" i="2"/>
  <c r="I5" i="2"/>
  <c r="L4" i="2"/>
  <c r="K4" i="2"/>
  <c r="J4" i="2"/>
  <c r="I4" i="2"/>
  <c r="L3" i="2"/>
  <c r="K3" i="2"/>
  <c r="J3" i="2"/>
  <c r="F286" i="4"/>
  <c r="F302" i="4"/>
  <c r="F494" i="4"/>
  <c r="F430" i="4"/>
  <c r="F486" i="4"/>
  <c r="F294" i="4"/>
  <c r="F542" i="4"/>
  <c r="F478" i="4"/>
  <c r="F414" i="4"/>
  <c r="F350" i="4"/>
  <c r="F265" i="4"/>
  <c r="F255" i="4"/>
  <c r="F247" i="4"/>
  <c r="F239" i="4"/>
  <c r="F231" i="4"/>
  <c r="F223" i="4"/>
  <c r="F215" i="4"/>
  <c r="F207" i="4"/>
  <c r="F199" i="4"/>
  <c r="F191" i="4"/>
  <c r="F183" i="4"/>
  <c r="F175" i="4"/>
  <c r="F167" i="4"/>
  <c r="F159" i="4"/>
  <c r="F151" i="4"/>
  <c r="F143" i="4"/>
  <c r="F135" i="4"/>
  <c r="F127" i="4"/>
  <c r="F119" i="4"/>
  <c r="F111" i="4"/>
  <c r="F95" i="4"/>
  <c r="F87" i="4"/>
  <c r="F79" i="4"/>
  <c r="F71" i="4"/>
  <c r="F55" i="4"/>
  <c r="F39" i="4"/>
  <c r="F23" i="4"/>
  <c r="F7" i="4"/>
  <c r="F6" i="4"/>
  <c r="F254" i="4"/>
  <c r="F246" i="4"/>
  <c r="F238" i="4"/>
  <c r="F230" i="4"/>
  <c r="F222" i="4"/>
  <c r="F214" i="4"/>
  <c r="F206" i="4"/>
  <c r="F198" i="4"/>
  <c r="F190" i="4"/>
  <c r="F182" i="4"/>
  <c r="F174" i="4"/>
  <c r="F166" i="4"/>
  <c r="F158" i="4"/>
  <c r="F150" i="4"/>
  <c r="F142" i="4"/>
  <c r="F134" i="4"/>
  <c r="F126" i="4"/>
  <c r="F118" i="4"/>
  <c r="F110" i="4"/>
  <c r="F102" i="4"/>
  <c r="F94" i="4"/>
  <c r="F86" i="4"/>
  <c r="F78" i="4"/>
  <c r="F70" i="4"/>
  <c r="F62" i="4"/>
  <c r="F54" i="4"/>
  <c r="F46" i="4"/>
  <c r="F38" i="4"/>
  <c r="F30" i="4"/>
  <c r="F22" i="4"/>
  <c r="F253" i="4"/>
  <c r="F245" i="4"/>
  <c r="F237" i="4"/>
  <c r="F229" i="4"/>
  <c r="F221" i="4"/>
  <c r="F213" i="4"/>
  <c r="F205" i="4"/>
  <c r="F197" i="4"/>
  <c r="F189" i="4"/>
  <c r="F181" i="4"/>
  <c r="F173" i="4"/>
  <c r="F165" i="4"/>
  <c r="F157" i="4"/>
  <c r="F149" i="4"/>
  <c r="F141" i="4"/>
  <c r="F133" i="4"/>
  <c r="F125" i="4"/>
  <c r="F117" i="4"/>
  <c r="F109" i="4"/>
  <c r="F101" i="4"/>
  <c r="F93" i="4"/>
  <c r="F85" i="4"/>
  <c r="F77" i="4"/>
  <c r="F69" i="4"/>
  <c r="F61" i="4"/>
  <c r="F53" i="4"/>
  <c r="F45" i="4"/>
  <c r="F37" i="4"/>
  <c r="F29" i="4"/>
  <c r="F21" i="4"/>
  <c r="F13" i="4"/>
  <c r="F5" i="4"/>
  <c r="F164" i="4"/>
  <c r="F140" i="4"/>
  <c r="F124" i="4"/>
  <c r="F116" i="4"/>
  <c r="F100" i="4"/>
  <c r="F92" i="4"/>
  <c r="F76" i="4"/>
  <c r="F68" i="4"/>
  <c r="F60" i="4"/>
  <c r="F44" i="4"/>
  <c r="F36" i="4"/>
  <c r="F20" i="4"/>
  <c r="F4" i="4"/>
  <c r="F219" i="4"/>
  <c r="F171" i="4"/>
  <c r="F147" i="4"/>
  <c r="F123" i="4"/>
  <c r="F99" i="4"/>
  <c r="F83" i="4"/>
  <c r="F59" i="4"/>
  <c r="F35" i="4"/>
  <c r="F11" i="4"/>
  <c r="F3" i="4"/>
  <c r="F42" i="4"/>
  <c r="F10" i="4"/>
  <c r="F252" i="4"/>
  <c r="F244" i="4"/>
  <c r="F236" i="4"/>
  <c r="F228" i="4"/>
  <c r="F220" i="4"/>
  <c r="F212" i="4"/>
  <c r="F204" i="4"/>
  <c r="F196" i="4"/>
  <c r="F188" i="4"/>
  <c r="F180" i="4"/>
  <c r="F172" i="4"/>
  <c r="F156" i="4"/>
  <c r="F148" i="4"/>
  <c r="F132" i="4"/>
  <c r="F108" i="4"/>
  <c r="F84" i="4"/>
  <c r="F52" i="4"/>
  <c r="F28" i="4"/>
  <c r="F12" i="4"/>
  <c r="F203" i="4"/>
  <c r="F139" i="4"/>
  <c r="F115" i="4"/>
  <c r="F91" i="4"/>
  <c r="F67" i="4"/>
  <c r="F43" i="4"/>
  <c r="F19" i="4"/>
  <c r="F50" i="4"/>
  <c r="F251" i="4"/>
  <c r="F243" i="4"/>
  <c r="F235" i="4"/>
  <c r="F227" i="4"/>
  <c r="F211" i="4"/>
  <c r="F195" i="4"/>
  <c r="F187" i="4"/>
  <c r="F179" i="4"/>
  <c r="F163" i="4"/>
  <c r="F155" i="4"/>
  <c r="F131" i="4"/>
  <c r="F107" i="4"/>
  <c r="F75" i="4"/>
  <c r="F51" i="4"/>
  <c r="F27" i="4"/>
  <c r="F26" i="4"/>
  <c r="F250" i="4"/>
  <c r="F242" i="4"/>
  <c r="F234" i="4"/>
  <c r="F226" i="4"/>
  <c r="F218" i="4"/>
  <c r="F210" i="4"/>
  <c r="F202" i="4"/>
  <c r="F194" i="4"/>
  <c r="F186" i="4"/>
  <c r="F178" i="4"/>
  <c r="F170" i="4"/>
  <c r="F162" i="4"/>
  <c r="F154" i="4"/>
  <c r="F146" i="4"/>
  <c r="F138" i="4"/>
  <c r="F130" i="4"/>
  <c r="F122" i="4"/>
  <c r="F114" i="4"/>
  <c r="F106" i="4"/>
  <c r="F98" i="4"/>
  <c r="F90" i="4"/>
  <c r="F82" i="4"/>
  <c r="F74" i="4"/>
  <c r="F66" i="4"/>
  <c r="F58" i="4"/>
  <c r="F34" i="4"/>
  <c r="F18" i="4"/>
  <c r="F249" i="4"/>
  <c r="F241" i="4"/>
  <c r="F233" i="4"/>
  <c r="F225" i="4"/>
  <c r="F217" i="4"/>
  <c r="F209" i="4"/>
  <c r="F201" i="4"/>
  <c r="F193" i="4"/>
  <c r="F185" i="4"/>
  <c r="F177" i="4"/>
  <c r="F169" i="4"/>
  <c r="F161" i="4"/>
  <c r="F153" i="4"/>
  <c r="F145" i="4"/>
  <c r="F137" i="4"/>
  <c r="F129" i="4"/>
  <c r="F121" i="4"/>
  <c r="F113" i="4"/>
  <c r="F105" i="4"/>
  <c r="F97" i="4"/>
  <c r="F89" i="4"/>
  <c r="F81" i="4"/>
  <c r="F73" i="4"/>
  <c r="F65" i="4"/>
  <c r="F57" i="4"/>
  <c r="F49" i="4"/>
  <c r="F41" i="4"/>
  <c r="F33" i="4"/>
  <c r="F25" i="4"/>
  <c r="F17" i="4"/>
  <c r="F9" i="4"/>
  <c r="F248" i="4"/>
  <c r="F240" i="4"/>
  <c r="F232" i="4"/>
  <c r="F224" i="4"/>
  <c r="F216" i="4"/>
  <c r="F208" i="4"/>
  <c r="F200" i="4"/>
  <c r="F192" i="4"/>
  <c r="F184" i="4"/>
  <c r="F176" i="4"/>
  <c r="F168" i="4"/>
  <c r="F160" i="4"/>
  <c r="F152" i="4"/>
  <c r="F144" i="4"/>
  <c r="F136" i="4"/>
  <c r="F128" i="4"/>
  <c r="F120" i="4"/>
  <c r="F112" i="4"/>
  <c r="F104" i="4"/>
  <c r="F96" i="4"/>
  <c r="F88" i="4"/>
  <c r="F80" i="4"/>
  <c r="F72" i="4"/>
  <c r="F64" i="4"/>
  <c r="F56" i="4"/>
  <c r="F48" i="4"/>
  <c r="F40" i="4"/>
  <c r="F32" i="4"/>
  <c r="F24" i="4"/>
  <c r="F16" i="4"/>
  <c r="F8" i="4"/>
  <c r="F103" i="4"/>
  <c r="F63" i="4"/>
  <c r="F47" i="4"/>
  <c r="F31" i="4"/>
  <c r="F15" i="4"/>
  <c r="F14" i="4"/>
  <c r="F358" i="4"/>
  <c r="F470" i="4"/>
  <c r="F342" i="4"/>
  <c r="F278" i="4"/>
  <c r="F366" i="4"/>
  <c r="F422" i="4"/>
  <c r="F534" i="4"/>
  <c r="F406" i="4"/>
  <c r="F526" i="4"/>
  <c r="F462" i="4"/>
  <c r="F398" i="4"/>
  <c r="F334" i="4"/>
  <c r="F270" i="4"/>
  <c r="F390" i="4"/>
  <c r="F518" i="4"/>
  <c r="F454" i="4"/>
  <c r="F326" i="4"/>
  <c r="F262" i="4"/>
  <c r="F510" i="4"/>
  <c r="F446" i="4"/>
  <c r="F382" i="4"/>
  <c r="F318" i="4"/>
  <c r="F502" i="4"/>
  <c r="F438" i="4"/>
  <c r="F374" i="4"/>
  <c r="F310" i="4"/>
  <c r="F536" i="4"/>
  <c r="F520" i="4"/>
  <c r="F257" i="4"/>
  <c r="F535" i="4"/>
  <c r="F527" i="4"/>
  <c r="F519" i="4"/>
  <c r="F511" i="4"/>
  <c r="F503" i="4"/>
  <c r="F495" i="4"/>
  <c r="F487" i="4"/>
  <c r="F479" i="4"/>
  <c r="F471" i="4"/>
  <c r="F463" i="4"/>
  <c r="F455" i="4"/>
  <c r="F447" i="4"/>
  <c r="F439" i="4"/>
  <c r="F431" i="4"/>
  <c r="F423" i="4"/>
  <c r="F415" i="4"/>
  <c r="F407" i="4"/>
  <c r="F399" i="4"/>
  <c r="F391" i="4"/>
  <c r="F383" i="4"/>
  <c r="F375" i="4"/>
  <c r="F367" i="4"/>
  <c r="F359" i="4"/>
  <c r="F351" i="4"/>
  <c r="F343" i="4"/>
  <c r="F335" i="4"/>
  <c r="F327" i="4"/>
  <c r="F319" i="4"/>
  <c r="F311" i="4"/>
  <c r="F303" i="4"/>
  <c r="F295" i="4"/>
  <c r="F287" i="4"/>
  <c r="F279" i="4"/>
  <c r="F271" i="4"/>
  <c r="F263" i="4"/>
  <c r="F541" i="4"/>
  <c r="F533" i="4"/>
  <c r="F525" i="4"/>
  <c r="F517" i="4"/>
  <c r="F509" i="4"/>
  <c r="F501" i="4"/>
  <c r="F493" i="4"/>
  <c r="F485" i="4"/>
  <c r="F477" i="4"/>
  <c r="F469" i="4"/>
  <c r="F461" i="4"/>
  <c r="F453" i="4"/>
  <c r="F445" i="4"/>
  <c r="F437" i="4"/>
  <c r="F429" i="4"/>
  <c r="F421" i="4"/>
  <c r="F413" i="4"/>
  <c r="F405" i="4"/>
  <c r="F397" i="4"/>
  <c r="F389" i="4"/>
  <c r="F381" i="4"/>
  <c r="F373" i="4"/>
  <c r="F365" i="4"/>
  <c r="F357" i="4"/>
  <c r="F349" i="4"/>
  <c r="F341" i="4"/>
  <c r="F333" i="4"/>
  <c r="F325" i="4"/>
  <c r="F317" i="4"/>
  <c r="F309" i="4"/>
  <c r="F301" i="4"/>
  <c r="F293" i="4"/>
  <c r="F285" i="4"/>
  <c r="F277" i="4"/>
  <c r="F269" i="4"/>
  <c r="F261" i="4"/>
  <c r="F540" i="4"/>
  <c r="F532" i="4"/>
  <c r="F524" i="4"/>
  <c r="F516" i="4"/>
  <c r="F508" i="4"/>
  <c r="F500" i="4"/>
  <c r="F492" i="4"/>
  <c r="F484" i="4"/>
  <c r="F476" i="4"/>
  <c r="F468" i="4"/>
  <c r="F460" i="4"/>
  <c r="F452" i="4"/>
  <c r="F444" i="4"/>
  <c r="F436" i="4"/>
  <c r="F428" i="4"/>
  <c r="F420" i="4"/>
  <c r="F412" i="4"/>
  <c r="F404" i="4"/>
  <c r="F396" i="4"/>
  <c r="F388" i="4"/>
  <c r="F380" i="4"/>
  <c r="F372" i="4"/>
  <c r="F364" i="4"/>
  <c r="F356" i="4"/>
  <c r="F348" i="4"/>
  <c r="F340" i="4"/>
  <c r="F332" i="4"/>
  <c r="F324" i="4"/>
  <c r="F316" i="4"/>
  <c r="F308" i="4"/>
  <c r="F300" i="4"/>
  <c r="F292" i="4"/>
  <c r="F284" i="4"/>
  <c r="F276" i="4"/>
  <c r="F268" i="4"/>
  <c r="F260" i="4"/>
  <c r="F539" i="4"/>
  <c r="F531" i="4"/>
  <c r="F523" i="4"/>
  <c r="F515" i="4"/>
  <c r="F507" i="4"/>
  <c r="F499" i="4"/>
  <c r="F491" i="4"/>
  <c r="F483" i="4"/>
  <c r="F475" i="4"/>
  <c r="F467" i="4"/>
  <c r="F459" i="4"/>
  <c r="F451" i="4"/>
  <c r="F443" i="4"/>
  <c r="F435" i="4"/>
  <c r="F427" i="4"/>
  <c r="F419" i="4"/>
  <c r="F411" i="4"/>
  <c r="F403" i="4"/>
  <c r="F395" i="4"/>
  <c r="F387" i="4"/>
  <c r="F379" i="4"/>
  <c r="F371" i="4"/>
  <c r="F363" i="4"/>
  <c r="F355" i="4"/>
  <c r="F347" i="4"/>
  <c r="F339" i="4"/>
  <c r="F331" i="4"/>
  <c r="F323" i="4"/>
  <c r="F315" i="4"/>
  <c r="F307" i="4"/>
  <c r="F299" i="4"/>
  <c r="F291" i="4"/>
  <c r="F283" i="4"/>
  <c r="F275" i="4"/>
  <c r="F267" i="4"/>
  <c r="F259" i="4"/>
  <c r="F538" i="4"/>
  <c r="F530" i="4"/>
  <c r="F522" i="4"/>
  <c r="F514" i="4"/>
  <c r="F506" i="4"/>
  <c r="F498" i="4"/>
  <c r="F490" i="4"/>
  <c r="F482" i="4"/>
  <c r="F474" i="4"/>
  <c r="F466" i="4"/>
  <c r="F458" i="4"/>
  <c r="F450" i="4"/>
  <c r="F442" i="4"/>
  <c r="F434" i="4"/>
  <c r="F426" i="4"/>
  <c r="F418" i="4"/>
  <c r="F410" i="4"/>
  <c r="F402" i="4"/>
  <c r="F394" i="4"/>
  <c r="F386" i="4"/>
  <c r="F378" i="4"/>
  <c r="F370" i="4"/>
  <c r="F362" i="4"/>
  <c r="F354" i="4"/>
  <c r="F346" i="4"/>
  <c r="F338" i="4"/>
  <c r="F330" i="4"/>
  <c r="F322" i="4"/>
  <c r="F314" i="4"/>
  <c r="F306" i="4"/>
  <c r="F298" i="4"/>
  <c r="F290" i="4"/>
  <c r="F282" i="4"/>
  <c r="F274" i="4"/>
  <c r="F266" i="4"/>
  <c r="F258" i="4"/>
  <c r="F537" i="4"/>
  <c r="F529" i="4"/>
  <c r="F521" i="4"/>
  <c r="F513" i="4"/>
  <c r="F505" i="4"/>
  <c r="F497" i="4"/>
  <c r="F489" i="4"/>
  <c r="F481" i="4"/>
  <c r="F473" i="4"/>
  <c r="F465" i="4"/>
  <c r="F457" i="4"/>
  <c r="F449" i="4"/>
  <c r="F441" i="4"/>
  <c r="F433" i="4"/>
  <c r="F425" i="4"/>
  <c r="F417" i="4"/>
  <c r="F409" i="4"/>
  <c r="F401" i="4"/>
  <c r="F393" i="4"/>
  <c r="F385" i="4"/>
  <c r="F377" i="4"/>
  <c r="F369" i="4"/>
  <c r="F361" i="4"/>
  <c r="F353" i="4"/>
  <c r="F345" i="4"/>
  <c r="F337" i="4"/>
  <c r="F329" i="4"/>
  <c r="F321" i="4"/>
  <c r="F313" i="4"/>
  <c r="F305" i="4"/>
  <c r="F297" i="4"/>
  <c r="F289" i="4"/>
  <c r="F281" i="4"/>
  <c r="F273" i="4"/>
  <c r="F528" i="4"/>
  <c r="F512" i="4"/>
  <c r="F504" i="4"/>
  <c r="F496" i="4"/>
  <c r="F488" i="4"/>
  <c r="F480" i="4"/>
  <c r="F472" i="4"/>
  <c r="F464" i="4"/>
  <c r="F456" i="4"/>
  <c r="F448" i="4"/>
  <c r="F440" i="4"/>
  <c r="F432" i="4"/>
  <c r="F424" i="4"/>
  <c r="F416" i="4"/>
  <c r="F408" i="4"/>
  <c r="F400" i="4"/>
  <c r="F392" i="4"/>
  <c r="F384" i="4"/>
  <c r="F376" i="4"/>
  <c r="F368" i="4"/>
  <c r="F360" i="4"/>
  <c r="F352" i="4"/>
  <c r="F344" i="4"/>
  <c r="F336" i="4"/>
  <c r="F328" i="4"/>
  <c r="F320" i="4"/>
  <c r="F312" i="4"/>
  <c r="F304" i="4"/>
  <c r="F296" i="4"/>
  <c r="F288" i="4"/>
  <c r="F280" i="4"/>
  <c r="F272" i="4"/>
  <c r="F264" i="4"/>
  <c r="I4" i="1"/>
  <c r="I5" i="1"/>
  <c r="K7" i="1"/>
  <c r="K8" i="1"/>
  <c r="K9" i="1"/>
  <c r="K10" i="1"/>
  <c r="K11" i="1"/>
  <c r="K12" i="1"/>
  <c r="K13" i="1"/>
  <c r="K14" i="1"/>
  <c r="K15" i="1"/>
  <c r="K16" i="1"/>
  <c r="K17" i="1"/>
  <c r="K6" i="1"/>
  <c r="H7" i="1"/>
  <c r="H8" i="1"/>
  <c r="H9" i="1"/>
  <c r="H10" i="1"/>
  <c r="H11" i="1"/>
  <c r="H12" i="1"/>
  <c r="H13" i="1"/>
  <c r="H14" i="1"/>
  <c r="H15" i="1"/>
  <c r="H16" i="1"/>
  <c r="H17" i="1"/>
  <c r="H6" i="1"/>
  <c r="C32" i="1"/>
  <c r="E6" i="1"/>
  <c r="F6" i="1"/>
  <c r="E7" i="1"/>
  <c r="F7" i="1"/>
  <c r="E8" i="1"/>
  <c r="E9" i="1"/>
  <c r="F9" i="1"/>
  <c r="E10" i="1"/>
  <c r="F10" i="1"/>
  <c r="E11" i="1"/>
  <c r="F11" i="1"/>
  <c r="E12" i="1"/>
  <c r="E13" i="1"/>
  <c r="I13" i="1"/>
  <c r="E14" i="1"/>
  <c r="I14" i="1"/>
  <c r="E15" i="1"/>
  <c r="I15" i="1"/>
  <c r="E16" i="1"/>
  <c r="I16" i="1"/>
  <c r="E17" i="1"/>
  <c r="F17" i="1"/>
  <c r="F15" i="1"/>
  <c r="F16" i="1"/>
  <c r="F8" i="1"/>
  <c r="I12" i="1"/>
  <c r="I11" i="1"/>
  <c r="F14" i="1"/>
  <c r="I6" i="1"/>
  <c r="I10" i="1"/>
  <c r="F13" i="1"/>
  <c r="I17" i="1"/>
  <c r="I9" i="1"/>
  <c r="F12" i="1"/>
  <c r="I8" i="1"/>
  <c r="I7" i="1"/>
</calcChain>
</file>

<file path=xl/sharedStrings.xml><?xml version="1.0" encoding="utf-8"?>
<sst xmlns="http://schemas.openxmlformats.org/spreadsheetml/2006/main" count="46" uniqueCount="38">
  <si>
    <t>U</t>
    <phoneticPr fontId="2"/>
  </si>
  <si>
    <t>Z</t>
    <phoneticPr fontId="2"/>
  </si>
  <si>
    <t>k</t>
    <phoneticPr fontId="2"/>
  </si>
  <si>
    <t>mm</t>
    <phoneticPr fontId="2"/>
  </si>
  <si>
    <t>m/s</t>
    <phoneticPr fontId="2"/>
  </si>
  <si>
    <t>m2/s2</t>
    <phoneticPr fontId="2"/>
  </si>
  <si>
    <t>設定風速</t>
    <rPh sb="0" eb="2">
      <t>セッテイ</t>
    </rPh>
    <rPh sb="2" eb="4">
      <t>フウソク</t>
    </rPh>
    <phoneticPr fontId="2"/>
  </si>
  <si>
    <t>m</t>
    <phoneticPr fontId="2"/>
  </si>
  <si>
    <t>0.5*</t>
    <phoneticPr fontId="2"/>
  </si>
  <si>
    <t>1.5*</t>
    <phoneticPr fontId="2"/>
  </si>
  <si>
    <t>z/H</t>
    <phoneticPr fontId="2"/>
  </si>
  <si>
    <t>U/UH</t>
    <phoneticPr fontId="2"/>
  </si>
  <si>
    <t>k/Uh2</t>
    <phoneticPr fontId="2"/>
  </si>
  <si>
    <t>1/7</t>
    <phoneticPr fontId="2"/>
  </si>
  <si>
    <t>X (m)</t>
    <phoneticPr fontId="2"/>
  </si>
  <si>
    <t>Y (m)</t>
    <phoneticPr fontId="2"/>
  </si>
  <si>
    <t>Z (m)</t>
    <phoneticPr fontId="2"/>
  </si>
  <si>
    <t>U (m/s)</t>
    <phoneticPr fontId="2"/>
  </si>
  <si>
    <t>TKE</t>
    <phoneticPr fontId="2"/>
  </si>
  <si>
    <t>ppm</t>
    <phoneticPr fontId="2"/>
  </si>
  <si>
    <t>C/C0</t>
    <phoneticPr fontId="2"/>
  </si>
  <si>
    <t>X(m)</t>
    <phoneticPr fontId="3"/>
  </si>
  <si>
    <t>Y(m)</t>
    <phoneticPr fontId="3"/>
  </si>
  <si>
    <t>C</t>
    <phoneticPr fontId="3"/>
  </si>
  <si>
    <t xml:space="preserve"> </t>
    <phoneticPr fontId="3"/>
  </si>
  <si>
    <t>C0=</t>
    <phoneticPr fontId="2"/>
  </si>
  <si>
    <r>
      <t>Z</t>
    </r>
    <r>
      <rPr>
        <sz val="10"/>
        <rFont val="ＭＳ Ｐゴシック"/>
        <family val="3"/>
        <charset val="128"/>
      </rPr>
      <t>（</t>
    </r>
    <r>
      <rPr>
        <sz val="10"/>
        <rFont val="Arial"/>
        <family val="2"/>
      </rPr>
      <t>m</t>
    </r>
    <r>
      <rPr>
        <sz val="10"/>
        <rFont val="ＭＳ Ｐゴシック"/>
        <family val="3"/>
        <charset val="128"/>
      </rPr>
      <t>）</t>
    </r>
    <phoneticPr fontId="3"/>
  </si>
  <si>
    <t>UH=</t>
    <phoneticPr fontId="2"/>
  </si>
  <si>
    <t>xz(y=0mm)</t>
    <phoneticPr fontId="2"/>
  </si>
  <si>
    <t>V (m/s)</t>
    <phoneticPr fontId="2"/>
  </si>
  <si>
    <t>W (m/s)</t>
    <phoneticPr fontId="2"/>
  </si>
  <si>
    <t>V/UH</t>
    <phoneticPr fontId="2"/>
  </si>
  <si>
    <t>W/UH</t>
    <phoneticPr fontId="2"/>
  </si>
  <si>
    <t>xy(z=50mm)</t>
    <phoneticPr fontId="2"/>
  </si>
  <si>
    <t>xy(z=0mm)</t>
    <phoneticPr fontId="2"/>
  </si>
  <si>
    <r>
      <t>TKE/UH</t>
    </r>
    <r>
      <rPr>
        <vertAlign val="superscript"/>
        <sz val="10"/>
        <rFont val="Arial"/>
        <family val="2"/>
      </rPr>
      <t>2</t>
    </r>
    <phoneticPr fontId="2"/>
  </si>
  <si>
    <t xml:space="preserve"> </t>
    <phoneticPr fontId="2"/>
  </si>
  <si>
    <t>C(ppm)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</si>
</sst>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80" formatCode="0.000_ "/>
    <numFmt numFmtId="181" formatCode="0.0_ "/>
    <numFmt numFmtId="183" formatCode="0.000_);[Red]\(0.000\)"/>
    <numFmt numFmtId="184" formatCode="0.0000_ "/>
    <numFmt numFmtId="187" formatCode="0.000000_ "/>
    <numFmt numFmtId="192" formatCode="0.000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vertAlign val="superscript"/>
      <sz val="10"/>
      <name val="Arial"/>
      <family val="2"/>
    </font>
    <font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8" fillId="0" borderId="0">
      <alignment vertical="center"/>
    </xf>
  </cellStyleXfs>
  <cellXfs count="63">
    <xf numFmtId="0" fontId="0" fillId="0" borderId="0" xfId="0"/>
    <xf numFmtId="181" fontId="0" fillId="2" borderId="1" xfId="0" applyNumberFormat="1" applyFill="1" applyBorder="1"/>
    <xf numFmtId="0" fontId="0" fillId="0" borderId="0" xfId="0" applyFill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81" fontId="4" fillId="2" borderId="0" xfId="0" applyNumberFormat="1" applyFont="1" applyFill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183" fontId="5" fillId="0" borderId="3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3" xfId="0" applyFont="1" applyFill="1" applyBorder="1" applyAlignment="1">
      <alignment vertical="center"/>
    </xf>
    <xf numFmtId="192" fontId="5" fillId="0" borderId="3" xfId="0" applyNumberFormat="1" applyFont="1" applyFill="1" applyBorder="1" applyAlignment="1">
      <alignment vertical="center"/>
    </xf>
    <xf numFmtId="0" fontId="5" fillId="0" borderId="3" xfId="1" applyFont="1" applyFill="1" applyBorder="1" applyAlignment="1">
      <alignment horizontal="right"/>
    </xf>
    <xf numFmtId="180" fontId="5" fillId="0" borderId="3" xfId="0" applyNumberFormat="1" applyFont="1" applyFill="1" applyBorder="1" applyAlignment="1">
      <alignment vertical="center"/>
    </xf>
    <xf numFmtId="0" fontId="5" fillId="0" borderId="3" xfId="0" applyFont="1" applyFill="1" applyBorder="1" applyAlignment="1">
      <alignment horizontal="right" vertical="center"/>
    </xf>
    <xf numFmtId="180" fontId="5" fillId="0" borderId="3" xfId="0" applyNumberFormat="1" applyFont="1" applyFill="1" applyBorder="1"/>
    <xf numFmtId="0" fontId="0" fillId="0" borderId="4" xfId="0" applyBorder="1"/>
    <xf numFmtId="0" fontId="5" fillId="0" borderId="5" xfId="0" applyFont="1" applyFill="1" applyBorder="1" applyAlignment="1">
      <alignment horizontal="center" vertical="center"/>
    </xf>
    <xf numFmtId="183" fontId="5" fillId="0" borderId="5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180" fontId="5" fillId="0" borderId="6" xfId="0" applyNumberFormat="1" applyFont="1" applyBorder="1" applyAlignment="1">
      <alignment horizontal="center" wrapText="1"/>
    </xf>
    <xf numFmtId="180" fontId="5" fillId="0" borderId="7" xfId="0" applyNumberFormat="1" applyFont="1" applyBorder="1" applyAlignment="1">
      <alignment horizontal="center" wrapText="1"/>
    </xf>
    <xf numFmtId="180" fontId="5" fillId="0" borderId="8" xfId="0" applyNumberFormat="1" applyFont="1" applyBorder="1" applyAlignment="1">
      <alignment horizontal="center" wrapText="1"/>
    </xf>
    <xf numFmtId="187" fontId="5" fillId="0" borderId="6" xfId="0" applyNumberFormat="1" applyFont="1" applyBorder="1" applyAlignment="1">
      <alignment horizontal="center" wrapText="1"/>
    </xf>
    <xf numFmtId="187" fontId="5" fillId="0" borderId="7" xfId="0" applyNumberFormat="1" applyFont="1" applyBorder="1" applyAlignment="1">
      <alignment horizontal="center" wrapText="1"/>
    </xf>
    <xf numFmtId="187" fontId="5" fillId="0" borderId="8" xfId="0" applyNumberFormat="1" applyFont="1" applyBorder="1" applyAlignment="1">
      <alignment horizontal="center" wrapText="1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180" fontId="5" fillId="0" borderId="0" xfId="0" applyNumberFormat="1" applyFont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180" fontId="5" fillId="0" borderId="16" xfId="0" applyNumberFormat="1" applyFont="1" applyBorder="1" applyAlignment="1">
      <alignment vertical="center"/>
    </xf>
    <xf numFmtId="180" fontId="5" fillId="0" borderId="17" xfId="0" applyNumberFormat="1" applyFont="1" applyBorder="1" applyAlignment="1">
      <alignment vertical="center"/>
    </xf>
    <xf numFmtId="180" fontId="5" fillId="0" borderId="12" xfId="0" applyNumberFormat="1" applyFont="1" applyBorder="1" applyAlignment="1">
      <alignment vertical="center"/>
    </xf>
    <xf numFmtId="180" fontId="5" fillId="0" borderId="0" xfId="0" applyNumberFormat="1" applyFont="1" applyBorder="1" applyAlignment="1">
      <alignment vertical="center"/>
    </xf>
    <xf numFmtId="180" fontId="5" fillId="0" borderId="19" xfId="0" applyNumberFormat="1" applyFont="1" applyBorder="1" applyAlignment="1">
      <alignment vertical="center"/>
    </xf>
    <xf numFmtId="180" fontId="5" fillId="0" borderId="20" xfId="0" applyNumberFormat="1" applyFont="1" applyBorder="1" applyAlignment="1">
      <alignment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180" fontId="5" fillId="0" borderId="21" xfId="0" applyNumberFormat="1" applyFont="1" applyBorder="1" applyAlignment="1">
      <alignment vertical="center"/>
    </xf>
    <xf numFmtId="180" fontId="5" fillId="0" borderId="14" xfId="0" applyNumberFormat="1" applyFont="1" applyBorder="1" applyAlignment="1">
      <alignment vertical="center"/>
    </xf>
    <xf numFmtId="180" fontId="5" fillId="0" borderId="2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/>
    <xf numFmtId="0" fontId="5" fillId="0" borderId="3" xfId="0" applyFont="1" applyBorder="1"/>
    <xf numFmtId="49" fontId="5" fillId="0" borderId="3" xfId="0" applyNumberFormat="1" applyFont="1" applyBorder="1"/>
    <xf numFmtId="184" fontId="5" fillId="0" borderId="3" xfId="0" applyNumberFormat="1" applyFont="1" applyFill="1" applyBorder="1" applyAlignment="1">
      <alignment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08924605188924"/>
          <c:y val="9.9163609406375725E-2"/>
          <c:w val="0.67050225985973222"/>
          <c:h val="0.705788472339606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'Inflow boundary layer'!$G$2</c:f>
              <c:strCache>
                <c:ptCount val="1"/>
                <c:pt idx="0">
                  <c:v>U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1-82BD-40CE-A6F0-D81828B2F23B}"/>
              </c:ext>
            </c:extLst>
          </c:dPt>
          <c:xVal>
            <c:numRef>
              <c:f>'Inflow boundary layer'!$H$6:$H$17</c:f>
              <c:numCache>
                <c:formatCode>0.000_ </c:formatCode>
                <c:ptCount val="12"/>
                <c:pt idx="0">
                  <c:v>0.83135254439791983</c:v>
                </c:pt>
                <c:pt idx="1">
                  <c:v>0.87592266735433122</c:v>
                </c:pt>
                <c:pt idx="2">
                  <c:v>0.93852314001266346</c:v>
                </c:pt>
                <c:pt idx="3">
                  <c:v>0.97174414493611661</c:v>
                </c:pt>
                <c:pt idx="4">
                  <c:v>0.99995181504953445</c:v>
                </c:pt>
                <c:pt idx="5">
                  <c:v>1.0464261762058926</c:v>
                </c:pt>
                <c:pt idx="6">
                  <c:v>1.093761733719181</c:v>
                </c:pt>
                <c:pt idx="7">
                  <c:v>1.1869400744430287</c:v>
                </c:pt>
                <c:pt idx="8">
                  <c:v>1.2545932244697995</c:v>
                </c:pt>
                <c:pt idx="9">
                  <c:v>1.2741075951549146</c:v>
                </c:pt>
                <c:pt idx="10">
                  <c:v>1.2694339142348261</c:v>
                </c:pt>
                <c:pt idx="11">
                  <c:v>1.2620728124526577</c:v>
                </c:pt>
              </c:numCache>
            </c:numRef>
          </c:xVal>
          <c:yVal>
            <c:numRef>
              <c:f>'Inflow boundary layer'!$F$6:$F$17</c:f>
              <c:numCache>
                <c:formatCode>General</c:formatCode>
                <c:ptCount val="12"/>
                <c:pt idx="0">
                  <c:v>0.19999999999999998</c:v>
                </c:pt>
                <c:pt idx="1">
                  <c:v>0.3</c:v>
                </c:pt>
                <c:pt idx="2">
                  <c:v>0.5</c:v>
                </c:pt>
                <c:pt idx="3">
                  <c:v>0.70000000000000007</c:v>
                </c:pt>
                <c:pt idx="4">
                  <c:v>1</c:v>
                </c:pt>
                <c:pt idx="5">
                  <c:v>1.4999999999999998</c:v>
                </c:pt>
                <c:pt idx="6">
                  <c:v>2</c:v>
                </c:pt>
                <c:pt idx="7">
                  <c:v>2.9999999999999996</c:v>
                </c:pt>
                <c:pt idx="8">
                  <c:v>4</c:v>
                </c:pt>
                <c:pt idx="9">
                  <c:v>5</c:v>
                </c:pt>
                <c:pt idx="10">
                  <c:v>5.9999999999999991</c:v>
                </c:pt>
                <c:pt idx="1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BD-40CE-A6F0-D81828B2F23B}"/>
            </c:ext>
          </c:extLst>
        </c:ser>
        <c:ser>
          <c:idx val="1"/>
          <c:order val="1"/>
          <c:spPr>
            <a:ln w="63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'Inflow boundary layer'!$I$4:$I$17</c:f>
              <c:numCache>
                <c:formatCode>0.000_ </c:formatCode>
                <c:ptCount val="14"/>
                <c:pt idx="0">
                  <c:v>0.65183634486883912</c:v>
                </c:pt>
                <c:pt idx="1">
                  <c:v>0.71968567300115205</c:v>
                </c:pt>
                <c:pt idx="2">
                  <c:v>0.79459740470185225</c:v>
                </c:pt>
                <c:pt idx="3">
                  <c:v>0.84198244434502034</c:v>
                </c:pt>
                <c:pt idx="4">
                  <c:v>0.90572366426390671</c:v>
                </c:pt>
                <c:pt idx="5">
                  <c:v>0.9503227992486909</c:v>
                </c:pt>
                <c:pt idx="6">
                  <c:v>1</c:v>
                </c:pt>
                <c:pt idx="7">
                  <c:v>1.0596340226670484</c:v>
                </c:pt>
                <c:pt idx="8">
                  <c:v>1.1040895136738123</c:v>
                </c:pt>
                <c:pt idx="9">
                  <c:v>1.1699308127586869</c:v>
                </c:pt>
                <c:pt idx="10">
                  <c:v>1.2190136542044754</c:v>
                </c:pt>
                <c:pt idx="11">
                  <c:v>1.2584989506418267</c:v>
                </c:pt>
                <c:pt idx="12">
                  <c:v>1.2917083420907465</c:v>
                </c:pt>
                <c:pt idx="13">
                  <c:v>1.3204692477561237</c:v>
                </c:pt>
              </c:numCache>
            </c:numRef>
          </c:xVal>
          <c:yVal>
            <c:numRef>
              <c:f>'Inflow boundary layer'!$F$4:$F$17</c:f>
              <c:numCache>
                <c:formatCode>General</c:formatCode>
                <c:ptCount val="14"/>
                <c:pt idx="0">
                  <c:v>0.05</c:v>
                </c:pt>
                <c:pt idx="1">
                  <c:v>0.1</c:v>
                </c:pt>
                <c:pt idx="2">
                  <c:v>0.19999999999999998</c:v>
                </c:pt>
                <c:pt idx="3">
                  <c:v>0.3</c:v>
                </c:pt>
                <c:pt idx="4">
                  <c:v>0.5</c:v>
                </c:pt>
                <c:pt idx="5">
                  <c:v>0.70000000000000007</c:v>
                </c:pt>
                <c:pt idx="6">
                  <c:v>1</c:v>
                </c:pt>
                <c:pt idx="7">
                  <c:v>1.4999999999999998</c:v>
                </c:pt>
                <c:pt idx="8">
                  <c:v>2</c:v>
                </c:pt>
                <c:pt idx="9">
                  <c:v>2.9999999999999996</c:v>
                </c:pt>
                <c:pt idx="10">
                  <c:v>4</c:v>
                </c:pt>
                <c:pt idx="11">
                  <c:v>5</c:v>
                </c:pt>
                <c:pt idx="12">
                  <c:v>5.9999999999999991</c:v>
                </c:pt>
                <c:pt idx="1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BD-40CE-A6F0-D81828B2F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688008"/>
        <c:axId val="1"/>
      </c:scatterChart>
      <c:valAx>
        <c:axId val="566688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i="1">
                    <a:latin typeface="+mn-lt"/>
                  </a:defRPr>
                </a:pPr>
                <a:r>
                  <a:rPr lang="en-US" altLang="ja-JP" sz="1100" i="1">
                    <a:latin typeface="+mn-lt"/>
                  </a:rPr>
                  <a:t>U/U</a:t>
                </a:r>
                <a:r>
                  <a:rPr lang="en-US" altLang="ja-JP" sz="1100" i="1" baseline="-25000">
                    <a:latin typeface="+mn-lt"/>
                  </a:rPr>
                  <a:t>H</a:t>
                </a:r>
                <a:endParaRPr lang="ja-JP" altLang="en-US" sz="1100" i="1" baseline="-25000">
                  <a:latin typeface="+mn-lt"/>
                </a:endParaRPr>
              </a:p>
            </c:rich>
          </c:tx>
          <c:overlay val="0"/>
        </c:title>
        <c:numFmt formatCode="0.0_ " sourceLinked="0"/>
        <c:majorTickMark val="in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1"/>
        <c:minorUnit val="0.5"/>
      </c:valAx>
      <c:valAx>
        <c:axId val="1"/>
        <c:scaling>
          <c:orientation val="minMax"/>
          <c:max val="7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100" i="1">
                    <a:latin typeface="+mn-lt"/>
                  </a:defRPr>
                </a:pPr>
                <a:r>
                  <a:rPr lang="en-US" altLang="en-US" sz="1100" i="1">
                    <a:latin typeface="+mn-lt"/>
                  </a:rPr>
                  <a:t>z/H</a:t>
                </a:r>
              </a:p>
            </c:rich>
          </c:tx>
          <c:layout>
            <c:manualLayout>
              <c:xMode val="edge"/>
              <c:yMode val="edge"/>
              <c:x val="1.9237386993292502E-2"/>
              <c:y val="0.39561601441610844"/>
            </c:manualLayout>
          </c:layout>
          <c:overlay val="0"/>
        </c:title>
        <c:numFmt formatCode="General" sourceLinked="1"/>
        <c:majorTickMark val="in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+mn-lt"/>
                <a:ea typeface="ＭＳ Ｐゴシック"/>
                <a:cs typeface="ＭＳ Ｐゴシック"/>
              </a:defRPr>
            </a:pPr>
            <a:endParaRPr lang="ja-JP"/>
          </a:p>
        </c:txPr>
        <c:crossAx val="566688008"/>
        <c:crosses val="autoZero"/>
        <c:crossBetween val="midCat"/>
        <c:majorUnit val="1"/>
        <c:minorUnit val="0.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701647207892117"/>
          <c:y val="0.10185009018954913"/>
          <c:w val="0.60857498416146261"/>
          <c:h val="0.702958331530086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'Inflow boundary layer'!$G$2</c:f>
              <c:strCache>
                <c:ptCount val="1"/>
                <c:pt idx="0">
                  <c:v>U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1-5CF2-4E44-B5F8-7D5649962252}"/>
              </c:ext>
            </c:extLst>
          </c:dPt>
          <c:xVal>
            <c:numRef>
              <c:f>'Inflow boundary layer'!$K$6:$K$17</c:f>
              <c:numCache>
                <c:formatCode>0.0000_ </c:formatCode>
                <c:ptCount val="12"/>
                <c:pt idx="0">
                  <c:v>9.939298083450742E-3</c:v>
                </c:pt>
                <c:pt idx="1">
                  <c:v>9.3603904576109037E-3</c:v>
                </c:pt>
                <c:pt idx="2">
                  <c:v>9.225877027683467E-3</c:v>
                </c:pt>
                <c:pt idx="3">
                  <c:v>8.6852518015876033E-3</c:v>
                </c:pt>
                <c:pt idx="4">
                  <c:v>8.4917840224315901E-3</c:v>
                </c:pt>
                <c:pt idx="5">
                  <c:v>8.6980342593578255E-3</c:v>
                </c:pt>
                <c:pt idx="6">
                  <c:v>8.4760496970909868E-3</c:v>
                </c:pt>
                <c:pt idx="7">
                  <c:v>6.409411002288902E-3</c:v>
                </c:pt>
                <c:pt idx="8">
                  <c:v>2.4204235232421142E-3</c:v>
                </c:pt>
                <c:pt idx="9">
                  <c:v>4.8562585556943182E-4</c:v>
                </c:pt>
                <c:pt idx="10">
                  <c:v>2.6748121654190016E-4</c:v>
                </c:pt>
                <c:pt idx="11">
                  <c:v>2.2710960184183532E-4</c:v>
                </c:pt>
              </c:numCache>
            </c:numRef>
          </c:xVal>
          <c:yVal>
            <c:numRef>
              <c:f>'Inflow boundary layer'!$F$6:$F$17</c:f>
              <c:numCache>
                <c:formatCode>General</c:formatCode>
                <c:ptCount val="12"/>
                <c:pt idx="0">
                  <c:v>0.19999999999999998</c:v>
                </c:pt>
                <c:pt idx="1">
                  <c:v>0.3</c:v>
                </c:pt>
                <c:pt idx="2">
                  <c:v>0.5</c:v>
                </c:pt>
                <c:pt idx="3">
                  <c:v>0.70000000000000007</c:v>
                </c:pt>
                <c:pt idx="4">
                  <c:v>1</c:v>
                </c:pt>
                <c:pt idx="5">
                  <c:v>1.4999999999999998</c:v>
                </c:pt>
                <c:pt idx="6">
                  <c:v>2</c:v>
                </c:pt>
                <c:pt idx="7">
                  <c:v>2.9999999999999996</c:v>
                </c:pt>
                <c:pt idx="8">
                  <c:v>4</c:v>
                </c:pt>
                <c:pt idx="9">
                  <c:v>5</c:v>
                </c:pt>
                <c:pt idx="10">
                  <c:v>5.9999999999999991</c:v>
                </c:pt>
                <c:pt idx="1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F2-4E44-B5F8-7D5649962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683744"/>
        <c:axId val="1"/>
      </c:scatterChart>
      <c:valAx>
        <c:axId val="56668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i="1">
                    <a:latin typeface="+mn-lt"/>
                  </a:defRPr>
                </a:pPr>
                <a:r>
                  <a:rPr lang="en-US" altLang="ja-JP" sz="1100" i="1">
                    <a:latin typeface="+mn-lt"/>
                  </a:rPr>
                  <a:t>k/U</a:t>
                </a:r>
                <a:r>
                  <a:rPr lang="en-US" altLang="ja-JP" sz="1100" i="1" baseline="-25000">
                    <a:latin typeface="+mn-lt"/>
                  </a:rPr>
                  <a:t>H</a:t>
                </a:r>
                <a:r>
                  <a:rPr lang="en-US" altLang="ja-JP" sz="1100" i="1" baseline="30000">
                    <a:latin typeface="+mn-lt"/>
                  </a:rPr>
                  <a:t>2</a:t>
                </a:r>
                <a:endParaRPr lang="ja-JP" altLang="en-US" sz="1100" i="1" baseline="30000">
                  <a:latin typeface="+mn-lt"/>
                </a:endParaRPr>
              </a:p>
            </c:rich>
          </c:tx>
          <c:overlay val="0"/>
        </c:title>
        <c:numFmt formatCode="0.00_ " sourceLinked="0"/>
        <c:majorTickMark val="cross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inorUnit val="5.000000000000001E-3"/>
      </c:valAx>
      <c:valAx>
        <c:axId val="1"/>
        <c:scaling>
          <c:orientation val="minMax"/>
          <c:max val="7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100" i="1">
                    <a:latin typeface="+mn-lt"/>
                  </a:defRPr>
                </a:pPr>
                <a:r>
                  <a:rPr lang="en-US" altLang="en-US" sz="1100" i="1">
                    <a:latin typeface="+mn-lt"/>
                  </a:rPr>
                  <a:t>z/H</a:t>
                </a:r>
              </a:p>
            </c:rich>
          </c:tx>
          <c:overlay val="0"/>
        </c:title>
        <c:numFmt formatCode="General" sourceLinked="1"/>
        <c:majorTickMark val="in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+mn-lt"/>
                <a:ea typeface="ＭＳ Ｐゴシック"/>
                <a:cs typeface="ＭＳ Ｐゴシック"/>
              </a:defRPr>
            </a:pPr>
            <a:endParaRPr lang="ja-JP"/>
          </a:p>
        </c:txPr>
        <c:crossAx val="566683744"/>
        <c:crosses val="autoZero"/>
        <c:crossBetween val="midCat"/>
        <c:minorUnit val="0.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18</xdr:row>
      <xdr:rowOff>9525</xdr:rowOff>
    </xdr:from>
    <xdr:to>
      <xdr:col>7</xdr:col>
      <xdr:colOff>361950</xdr:colOff>
      <xdr:row>31</xdr:row>
      <xdr:rowOff>161925</xdr:rowOff>
    </xdr:to>
    <xdr:graphicFrame macro="">
      <xdr:nvGraphicFramePr>
        <xdr:cNvPr id="1273" name="グラフ 5">
          <a:extLst>
            <a:ext uri="{FF2B5EF4-FFF2-40B4-BE49-F238E27FC236}">
              <a16:creationId xmlns:a16="http://schemas.microsoft.com/office/drawing/2014/main" id="{56EECC48-B7A4-4284-9C9B-1A6FC05BA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361950</xdr:colOff>
      <xdr:row>18</xdr:row>
      <xdr:rowOff>19050</xdr:rowOff>
    </xdr:from>
    <xdr:to>
      <xdr:col>10</xdr:col>
      <xdr:colOff>209550</xdr:colOff>
      <xdr:row>32</xdr:row>
      <xdr:rowOff>19050</xdr:rowOff>
    </xdr:to>
    <xdr:graphicFrame macro="">
      <xdr:nvGraphicFramePr>
        <xdr:cNvPr id="1274" name="グラフ 5">
          <a:extLst>
            <a:ext uri="{FF2B5EF4-FFF2-40B4-BE49-F238E27FC236}">
              <a16:creationId xmlns:a16="http://schemas.microsoft.com/office/drawing/2014/main" id="{A3305929-2045-4088-82CC-6422A8B0C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9"/>
  <sheetViews>
    <sheetView topLeftCell="E1" zoomScale="98" zoomScaleNormal="98" workbookViewId="0">
      <selection activeCell="N25" sqref="N25"/>
    </sheetView>
  </sheetViews>
  <sheetFormatPr defaultRowHeight="14.25" x14ac:dyDescent="0.2"/>
  <cols>
    <col min="4" max="4" width="9.125" bestFit="1" customWidth="1"/>
    <col min="5" max="5" width="9.125" style="59" bestFit="1" customWidth="1"/>
    <col min="6" max="6" width="9.125" style="59" customWidth="1"/>
    <col min="7" max="7" width="9.125" style="59" bestFit="1" customWidth="1"/>
    <col min="8" max="9" width="9.125" style="59" customWidth="1"/>
    <col min="10" max="11" width="10.625" style="59" customWidth="1"/>
  </cols>
  <sheetData>
    <row r="1" spans="2:11" x14ac:dyDescent="0.2">
      <c r="E1" s="59" t="s">
        <v>36</v>
      </c>
    </row>
    <row r="2" spans="2:11" x14ac:dyDescent="0.2">
      <c r="D2" t="s">
        <v>1</v>
      </c>
      <c r="E2" s="60" t="s">
        <v>1</v>
      </c>
      <c r="F2" s="60" t="s">
        <v>10</v>
      </c>
      <c r="G2" s="60" t="s">
        <v>0</v>
      </c>
      <c r="H2" s="60" t="s">
        <v>11</v>
      </c>
      <c r="I2" s="61" t="s">
        <v>13</v>
      </c>
      <c r="J2" s="60" t="s">
        <v>2</v>
      </c>
      <c r="K2" s="60" t="s">
        <v>12</v>
      </c>
    </row>
    <row r="3" spans="2:11" x14ac:dyDescent="0.2">
      <c r="B3" t="s">
        <v>6</v>
      </c>
      <c r="D3" t="s">
        <v>3</v>
      </c>
      <c r="E3" s="60" t="s">
        <v>7</v>
      </c>
      <c r="F3" s="60"/>
      <c r="G3" s="60" t="s">
        <v>4</v>
      </c>
      <c r="H3" s="60"/>
      <c r="I3" s="60"/>
      <c r="J3" s="60" t="s">
        <v>5</v>
      </c>
      <c r="K3" s="60"/>
    </row>
    <row r="4" spans="2:11" x14ac:dyDescent="0.2">
      <c r="E4" s="60">
        <v>5.0000000000000001E-3</v>
      </c>
      <c r="F4" s="60">
        <v>0.05</v>
      </c>
      <c r="G4" s="60"/>
      <c r="H4" s="60"/>
      <c r="I4" s="17">
        <f>1*(E4/0.1)^(1/7)</f>
        <v>0.65183634486883912</v>
      </c>
      <c r="J4" s="60"/>
      <c r="K4" s="60"/>
    </row>
    <row r="5" spans="2:11" ht="15" thickBot="1" x14ac:dyDescent="0.25">
      <c r="E5" s="60">
        <v>0.01</v>
      </c>
      <c r="F5" s="60">
        <v>0.1</v>
      </c>
      <c r="G5" s="60"/>
      <c r="H5" s="60"/>
      <c r="I5" s="17">
        <f>1*(E5/0.1)^(1/7)</f>
        <v>0.71968567300115205</v>
      </c>
      <c r="J5" s="60"/>
      <c r="K5" s="60"/>
    </row>
    <row r="6" spans="2:11" ht="15" thickBot="1" x14ac:dyDescent="0.25">
      <c r="B6" s="1">
        <v>3.2</v>
      </c>
      <c r="D6" s="2">
        <v>20</v>
      </c>
      <c r="E6" s="60">
        <f>D6*0.001</f>
        <v>0.02</v>
      </c>
      <c r="F6" s="60">
        <f>E6/0.1</f>
        <v>0.19999999999999998</v>
      </c>
      <c r="G6" s="17">
        <v>1.4108052678432701</v>
      </c>
      <c r="H6" s="17">
        <f>G6/1.697</f>
        <v>0.83135254439791983</v>
      </c>
      <c r="I6" s="17">
        <f>1*(E6/0.1)^(1/7)</f>
        <v>0.79459740470185225</v>
      </c>
      <c r="J6" s="62">
        <v>2.8623280074404199E-2</v>
      </c>
      <c r="K6" s="62">
        <f>J6/1.697^2</f>
        <v>9.939298083450742E-3</v>
      </c>
    </row>
    <row r="7" spans="2:11" x14ac:dyDescent="0.2">
      <c r="D7" s="2">
        <v>30</v>
      </c>
      <c r="E7" s="60">
        <f t="shared" ref="E7:E17" si="0">D7*0.001</f>
        <v>0.03</v>
      </c>
      <c r="F7" s="60">
        <f t="shared" ref="F7:F17" si="1">E7/0.1</f>
        <v>0.3</v>
      </c>
      <c r="G7" s="17">
        <v>1.4864407665003001</v>
      </c>
      <c r="H7" s="17">
        <f t="shared" ref="H7:H17" si="2">G7/1.697</f>
        <v>0.87592266735433122</v>
      </c>
      <c r="I7" s="17">
        <f t="shared" ref="I7:I17" si="3">1*(E7/0.1)^(1/7)</f>
        <v>0.84198244434502034</v>
      </c>
      <c r="J7" s="62">
        <v>2.6956136683342E-2</v>
      </c>
      <c r="K7" s="62">
        <f t="shared" ref="K7:K17" si="4">J7/1.697^2</f>
        <v>9.3603904576109037E-3</v>
      </c>
    </row>
    <row r="8" spans="2:11" x14ac:dyDescent="0.2">
      <c r="D8" s="2">
        <v>50</v>
      </c>
      <c r="E8" s="60">
        <f t="shared" si="0"/>
        <v>0.05</v>
      </c>
      <c r="F8" s="60">
        <f t="shared" si="1"/>
        <v>0.5</v>
      </c>
      <c r="G8" s="17">
        <v>1.59267376860149</v>
      </c>
      <c r="H8" s="17">
        <f t="shared" si="2"/>
        <v>0.93852314001266346</v>
      </c>
      <c r="I8" s="17">
        <f t="shared" si="3"/>
        <v>0.90572366426390671</v>
      </c>
      <c r="J8" s="62">
        <v>2.65687636972161E-2</v>
      </c>
      <c r="K8" s="62">
        <f t="shared" si="4"/>
        <v>9.225877027683467E-3</v>
      </c>
    </row>
    <row r="9" spans="2:11" x14ac:dyDescent="0.2">
      <c r="D9" s="2">
        <v>70</v>
      </c>
      <c r="E9" s="60">
        <f t="shared" si="0"/>
        <v>7.0000000000000007E-2</v>
      </c>
      <c r="F9" s="60">
        <f t="shared" si="1"/>
        <v>0.70000000000000007</v>
      </c>
      <c r="G9" s="17">
        <v>1.6490498139565899</v>
      </c>
      <c r="H9" s="17">
        <f t="shared" si="2"/>
        <v>0.97174414493611661</v>
      </c>
      <c r="I9" s="17">
        <f t="shared" si="3"/>
        <v>0.9503227992486909</v>
      </c>
      <c r="J9" s="62">
        <v>2.5011866305478199E-2</v>
      </c>
      <c r="K9" s="62">
        <f t="shared" si="4"/>
        <v>8.6852518015876033E-3</v>
      </c>
    </row>
    <row r="10" spans="2:11" x14ac:dyDescent="0.2">
      <c r="D10" s="2">
        <v>100</v>
      </c>
      <c r="E10" s="60">
        <f t="shared" si="0"/>
        <v>0.1</v>
      </c>
      <c r="F10" s="60">
        <f t="shared" si="1"/>
        <v>1</v>
      </c>
      <c r="G10" s="17">
        <v>1.69691823013906</v>
      </c>
      <c r="H10" s="17">
        <f t="shared" si="2"/>
        <v>0.99995181504953445</v>
      </c>
      <c r="I10" s="17">
        <f t="shared" si="3"/>
        <v>1</v>
      </c>
      <c r="J10" s="62">
        <v>2.44547160538547E-2</v>
      </c>
      <c r="K10" s="62">
        <f t="shared" si="4"/>
        <v>8.4917840224315901E-3</v>
      </c>
    </row>
    <row r="11" spans="2:11" x14ac:dyDescent="0.2">
      <c r="D11" s="2">
        <v>150</v>
      </c>
      <c r="E11" s="60">
        <f t="shared" si="0"/>
        <v>0.15</v>
      </c>
      <c r="F11" s="60">
        <f t="shared" si="1"/>
        <v>1.4999999999999998</v>
      </c>
      <c r="G11" s="17">
        <v>1.7757852210214</v>
      </c>
      <c r="H11" s="17">
        <f t="shared" si="2"/>
        <v>1.0464261762058926</v>
      </c>
      <c r="I11" s="17">
        <f t="shared" si="3"/>
        <v>1.0596340226670484</v>
      </c>
      <c r="J11" s="62">
        <v>2.5048677342407E-2</v>
      </c>
      <c r="K11" s="62">
        <f t="shared" si="4"/>
        <v>8.6980342593578255E-3</v>
      </c>
    </row>
    <row r="12" spans="2:11" x14ac:dyDescent="0.2">
      <c r="D12" s="2">
        <v>200</v>
      </c>
      <c r="E12" s="60">
        <f t="shared" si="0"/>
        <v>0.2</v>
      </c>
      <c r="F12" s="60">
        <f t="shared" si="1"/>
        <v>2</v>
      </c>
      <c r="G12" s="17">
        <v>1.85611366212145</v>
      </c>
      <c r="H12" s="17">
        <f t="shared" si="2"/>
        <v>1.093761733719181</v>
      </c>
      <c r="I12" s="17">
        <f t="shared" si="3"/>
        <v>1.1040895136738123</v>
      </c>
      <c r="J12" s="62">
        <v>2.4409404202129899E-2</v>
      </c>
      <c r="K12" s="62">
        <f t="shared" si="4"/>
        <v>8.4760496970909868E-3</v>
      </c>
    </row>
    <row r="13" spans="2:11" x14ac:dyDescent="0.2">
      <c r="D13" s="2">
        <v>300</v>
      </c>
      <c r="E13" s="60">
        <f t="shared" si="0"/>
        <v>0.3</v>
      </c>
      <c r="F13" s="60">
        <f t="shared" si="1"/>
        <v>2.9999999999999996</v>
      </c>
      <c r="G13" s="17">
        <v>2.0142373063298198</v>
      </c>
      <c r="H13" s="17">
        <f t="shared" si="2"/>
        <v>1.1869400744430287</v>
      </c>
      <c r="I13" s="17">
        <f t="shared" si="3"/>
        <v>1.1699308127586869</v>
      </c>
      <c r="J13" s="62">
        <v>1.8457879489090601E-2</v>
      </c>
      <c r="K13" s="62">
        <f t="shared" si="4"/>
        <v>6.409411002288902E-3</v>
      </c>
    </row>
    <row r="14" spans="2:11" x14ac:dyDescent="0.2">
      <c r="D14" s="2">
        <v>400</v>
      </c>
      <c r="E14" s="60">
        <f t="shared" si="0"/>
        <v>0.4</v>
      </c>
      <c r="F14" s="60">
        <f t="shared" si="1"/>
        <v>4</v>
      </c>
      <c r="G14" s="17">
        <v>2.1290447019252499</v>
      </c>
      <c r="H14" s="17">
        <f t="shared" si="2"/>
        <v>1.2545932244697995</v>
      </c>
      <c r="I14" s="17">
        <f t="shared" si="3"/>
        <v>1.2190136542044754</v>
      </c>
      <c r="J14" s="62">
        <v>6.9703574460443498E-3</v>
      </c>
      <c r="K14" s="62">
        <f t="shared" si="4"/>
        <v>2.4204235232421142E-3</v>
      </c>
    </row>
    <row r="15" spans="2:11" x14ac:dyDescent="0.2">
      <c r="D15" s="2">
        <v>500</v>
      </c>
      <c r="E15" s="60">
        <f t="shared" si="0"/>
        <v>0.5</v>
      </c>
      <c r="F15" s="60">
        <f t="shared" si="1"/>
        <v>5</v>
      </c>
      <c r="G15" s="17">
        <v>2.1621605889778901</v>
      </c>
      <c r="H15" s="17">
        <f t="shared" si="2"/>
        <v>1.2741075951549146</v>
      </c>
      <c r="I15" s="17">
        <f t="shared" si="3"/>
        <v>1.2584989506418267</v>
      </c>
      <c r="J15" s="62">
        <v>1.39850970950155E-3</v>
      </c>
      <c r="K15" s="62">
        <f t="shared" si="4"/>
        <v>4.8562585556943182E-4</v>
      </c>
    </row>
    <row r="16" spans="2:11" x14ac:dyDescent="0.2">
      <c r="D16" s="2">
        <v>600</v>
      </c>
      <c r="E16" s="60">
        <f t="shared" si="0"/>
        <v>0.6</v>
      </c>
      <c r="F16" s="60">
        <f t="shared" si="1"/>
        <v>5.9999999999999991</v>
      </c>
      <c r="G16" s="17">
        <v>2.1542293524564999</v>
      </c>
      <c r="H16" s="17">
        <f t="shared" si="2"/>
        <v>1.2694339142348261</v>
      </c>
      <c r="I16" s="17">
        <f t="shared" si="3"/>
        <v>1.2917083420907465</v>
      </c>
      <c r="J16" s="62">
        <v>7.7029481472831295E-4</v>
      </c>
      <c r="K16" s="62">
        <f t="shared" si="4"/>
        <v>2.6748121654190016E-4</v>
      </c>
    </row>
    <row r="17" spans="3:11" x14ac:dyDescent="0.2">
      <c r="D17" s="3">
        <v>700</v>
      </c>
      <c r="E17" s="60">
        <f t="shared" si="0"/>
        <v>0.70000000000000007</v>
      </c>
      <c r="F17" s="60">
        <f t="shared" si="1"/>
        <v>7</v>
      </c>
      <c r="G17" s="17">
        <v>2.14173756273216</v>
      </c>
      <c r="H17" s="17">
        <f t="shared" si="2"/>
        <v>1.2620728124526577</v>
      </c>
      <c r="I17" s="17">
        <f t="shared" si="3"/>
        <v>1.3204692477561237</v>
      </c>
      <c r="J17" s="62">
        <v>6.5403227537053402E-4</v>
      </c>
      <c r="K17" s="62">
        <f t="shared" si="4"/>
        <v>2.2710960184183532E-4</v>
      </c>
    </row>
    <row r="32" spans="3:11" x14ac:dyDescent="0.2">
      <c r="C32">
        <f>960*2*5*52</f>
        <v>499200</v>
      </c>
    </row>
    <row r="54" spans="10:10" x14ac:dyDescent="0.2">
      <c r="J54" s="59" t="s">
        <v>8</v>
      </c>
    </row>
    <row r="69" spans="10:10" x14ac:dyDescent="0.2">
      <c r="J69" s="59" t="s">
        <v>9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>
      <selection activeCell="O17" sqref="O17"/>
    </sheetView>
  </sheetViews>
  <sheetFormatPr defaultRowHeight="13.5" x14ac:dyDescent="0.15"/>
  <cols>
    <col min="1" max="1" width="11.5" style="8" customWidth="1"/>
    <col min="2" max="12" width="9" style="8"/>
  </cols>
  <sheetData>
    <row r="1" spans="1:12" x14ac:dyDescent="0.15">
      <c r="B1" s="8" t="s">
        <v>27</v>
      </c>
      <c r="C1" s="23">
        <v>1.7</v>
      </c>
      <c r="D1" s="8" t="s">
        <v>4</v>
      </c>
    </row>
    <row r="2" spans="1:12" ht="15" thickBot="1" x14ac:dyDescent="0.25">
      <c r="A2" s="24" t="s">
        <v>28</v>
      </c>
      <c r="B2" s="25" t="s">
        <v>14</v>
      </c>
      <c r="C2" s="26" t="s">
        <v>15</v>
      </c>
      <c r="D2" s="26" t="s">
        <v>16</v>
      </c>
      <c r="E2" s="27" t="s">
        <v>17</v>
      </c>
      <c r="F2" s="28" t="s">
        <v>29</v>
      </c>
      <c r="G2" s="29" t="s">
        <v>30</v>
      </c>
      <c r="H2" s="29" t="s">
        <v>18</v>
      </c>
      <c r="I2" s="30" t="s">
        <v>11</v>
      </c>
      <c r="J2" s="31" t="s">
        <v>31</v>
      </c>
      <c r="K2" s="32" t="s">
        <v>32</v>
      </c>
      <c r="L2" s="32" t="s">
        <v>35</v>
      </c>
    </row>
    <row r="3" spans="1:12" ht="14.25" thickTop="1" x14ac:dyDescent="0.15">
      <c r="B3" s="33">
        <v>-0.15</v>
      </c>
      <c r="C3" s="34">
        <v>0</v>
      </c>
      <c r="D3" s="35">
        <v>1.4999999999999999E-2</v>
      </c>
      <c r="E3" s="36">
        <v>0.97589975600000001</v>
      </c>
      <c r="F3" s="36">
        <v>8.7428583130000001E-7</v>
      </c>
      <c r="G3" s="36">
        <v>7.126320153E-2</v>
      </c>
      <c r="H3" s="36">
        <v>3.05214189E-2</v>
      </c>
      <c r="I3" s="36">
        <f>E3/$C$1</f>
        <v>0.57405868000000004</v>
      </c>
      <c r="J3" s="36">
        <f>F3/$C$1</f>
        <v>5.1428578311764704E-7</v>
      </c>
      <c r="K3" s="36">
        <f>G3/$C$1</f>
        <v>4.1919530311764708E-2</v>
      </c>
      <c r="L3" s="36">
        <f>H3/$C$1^2</f>
        <v>1.0561044602076125E-2</v>
      </c>
    </row>
    <row r="4" spans="1:12" x14ac:dyDescent="0.15">
      <c r="B4" s="37">
        <v>-0.15</v>
      </c>
      <c r="C4" s="8">
        <v>0</v>
      </c>
      <c r="D4" s="38">
        <v>0.05</v>
      </c>
      <c r="E4" s="36">
        <v>1.3469449280000001</v>
      </c>
      <c r="F4" s="36">
        <v>2.8311862369999998E-7</v>
      </c>
      <c r="G4" s="36">
        <v>0.1125153676</v>
      </c>
      <c r="H4" s="36">
        <v>3.2272886479999999E-2</v>
      </c>
      <c r="I4" s="36">
        <f t="shared" ref="I4:K54" si="0">E4/$C$1</f>
        <v>0.79232054588235301</v>
      </c>
      <c r="J4" s="36">
        <f t="shared" si="0"/>
        <v>1.6654036688235294E-7</v>
      </c>
      <c r="K4" s="36">
        <f t="shared" si="0"/>
        <v>6.6185510352941179E-2</v>
      </c>
      <c r="L4" s="36">
        <f t="shared" ref="L4:L54" si="1">H4/$C$1^2</f>
        <v>1.1167088747404845E-2</v>
      </c>
    </row>
    <row r="5" spans="1:12" x14ac:dyDescent="0.15">
      <c r="B5" s="37">
        <v>-0.15</v>
      </c>
      <c r="C5" s="8">
        <v>0</v>
      </c>
      <c r="D5" s="38">
        <v>0.1</v>
      </c>
      <c r="E5" s="36">
        <v>1.591537118</v>
      </c>
      <c r="F5" s="36">
        <v>2.9276850459999999E-7</v>
      </c>
      <c r="G5" s="36">
        <v>0.1394596696</v>
      </c>
      <c r="H5" s="36">
        <v>3.2231494780000002E-2</v>
      </c>
      <c r="I5" s="36">
        <f t="shared" si="0"/>
        <v>0.93619830470588239</v>
      </c>
      <c r="J5" s="36">
        <f t="shared" si="0"/>
        <v>1.722167674117647E-7</v>
      </c>
      <c r="K5" s="36">
        <f t="shared" si="0"/>
        <v>8.2035099764705882E-2</v>
      </c>
      <c r="L5" s="36">
        <f t="shared" si="1"/>
        <v>1.1152766359861593E-2</v>
      </c>
    </row>
    <row r="6" spans="1:12" x14ac:dyDescent="0.15">
      <c r="B6" s="37">
        <v>-0.15</v>
      </c>
      <c r="C6" s="8">
        <v>0</v>
      </c>
      <c r="D6" s="38">
        <v>0.15</v>
      </c>
      <c r="E6" s="36">
        <v>1.772840261</v>
      </c>
      <c r="F6" s="36">
        <v>4.3796541149999998E-7</v>
      </c>
      <c r="G6" s="36">
        <v>0.12843725089999999</v>
      </c>
      <c r="H6" s="36">
        <v>2.923254669E-2</v>
      </c>
      <c r="I6" s="36">
        <f t="shared" si="0"/>
        <v>1.0428472123529413</v>
      </c>
      <c r="J6" s="36">
        <f t="shared" si="0"/>
        <v>2.5762671264705884E-7</v>
      </c>
      <c r="K6" s="36">
        <f t="shared" si="0"/>
        <v>7.5551324058823532E-2</v>
      </c>
      <c r="L6" s="36">
        <f t="shared" si="1"/>
        <v>1.0115068058823531E-2</v>
      </c>
    </row>
    <row r="7" spans="1:12" x14ac:dyDescent="0.15">
      <c r="B7" s="37">
        <v>-0.15</v>
      </c>
      <c r="C7" s="8">
        <v>0</v>
      </c>
      <c r="D7" s="38">
        <v>0.2</v>
      </c>
      <c r="E7" s="36">
        <v>1.889661193</v>
      </c>
      <c r="F7" s="36">
        <v>5.0998505690000002E-7</v>
      </c>
      <c r="G7" s="36">
        <v>9.3850851060000004E-2</v>
      </c>
      <c r="H7" s="36">
        <v>2.529917471E-2</v>
      </c>
      <c r="I7" s="36">
        <f t="shared" si="0"/>
        <v>1.1115654076470589</v>
      </c>
      <c r="J7" s="36">
        <f t="shared" si="0"/>
        <v>2.999912099411765E-7</v>
      </c>
      <c r="K7" s="36">
        <f t="shared" si="0"/>
        <v>5.520638297647059E-2</v>
      </c>
      <c r="L7" s="36">
        <f t="shared" si="1"/>
        <v>8.754039692041523E-3</v>
      </c>
    </row>
    <row r="8" spans="1:12" x14ac:dyDescent="0.15">
      <c r="B8" s="37">
        <v>-0.15</v>
      </c>
      <c r="C8" s="8">
        <v>0</v>
      </c>
      <c r="D8" s="38">
        <v>0.3</v>
      </c>
      <c r="E8" s="36">
        <v>2.013365984</v>
      </c>
      <c r="F8" s="36">
        <v>3.3922302119999998E-7</v>
      </c>
      <c r="G8" s="36">
        <v>4.3190434579999999E-2</v>
      </c>
      <c r="H8" s="36">
        <v>1.7820214849999998E-2</v>
      </c>
      <c r="I8" s="36">
        <f t="shared" si="0"/>
        <v>1.184332931764706</v>
      </c>
      <c r="J8" s="36">
        <f t="shared" si="0"/>
        <v>1.9954295364705881E-7</v>
      </c>
      <c r="K8" s="36">
        <f t="shared" si="0"/>
        <v>2.5406137988235294E-2</v>
      </c>
      <c r="L8" s="36">
        <f t="shared" si="1"/>
        <v>6.1661643079584773E-3</v>
      </c>
    </row>
    <row r="9" spans="1:12" x14ac:dyDescent="0.15">
      <c r="B9" s="37">
        <v>-0.15</v>
      </c>
      <c r="C9" s="8">
        <v>0</v>
      </c>
      <c r="D9" s="38">
        <v>0.4</v>
      </c>
      <c r="E9" s="36">
        <v>2.0875611310000002</v>
      </c>
      <c r="F9" s="36">
        <v>2.5469284990000001E-7</v>
      </c>
      <c r="G9" s="36">
        <v>2.0780853929999999E-2</v>
      </c>
      <c r="H9" s="36">
        <v>9.9035101010000008E-3</v>
      </c>
      <c r="I9" s="36">
        <f t="shared" si="0"/>
        <v>1.227977135882353</v>
      </c>
      <c r="J9" s="36">
        <f t="shared" si="0"/>
        <v>1.4981932347058825E-7</v>
      </c>
      <c r="K9" s="36">
        <f t="shared" si="0"/>
        <v>1.2224031723529412E-2</v>
      </c>
      <c r="L9" s="36">
        <f t="shared" si="1"/>
        <v>3.4268201041522499E-3</v>
      </c>
    </row>
    <row r="10" spans="1:12" x14ac:dyDescent="0.15">
      <c r="B10" s="39">
        <v>-0.15</v>
      </c>
      <c r="C10" s="40">
        <v>0</v>
      </c>
      <c r="D10" s="41">
        <v>0.5</v>
      </c>
      <c r="E10" s="36">
        <v>2.1443388460000001</v>
      </c>
      <c r="F10" s="36">
        <v>4.6705287099999998E-7</v>
      </c>
      <c r="G10" s="36">
        <v>1.0037870149999999E-2</v>
      </c>
      <c r="H10" s="36">
        <v>1.18506432E-3</v>
      </c>
      <c r="I10" s="36">
        <f t="shared" si="0"/>
        <v>1.2613757917647059</v>
      </c>
      <c r="J10" s="36">
        <f t="shared" si="0"/>
        <v>2.7473698294117647E-7</v>
      </c>
      <c r="K10" s="36">
        <f t="shared" si="0"/>
        <v>5.9046294999999995E-3</v>
      </c>
      <c r="L10" s="36">
        <f t="shared" si="1"/>
        <v>4.1005685813148797E-4</v>
      </c>
    </row>
    <row r="11" spans="1:12" x14ac:dyDescent="0.15">
      <c r="B11" s="42">
        <v>-0.05</v>
      </c>
      <c r="C11" s="43">
        <v>0</v>
      </c>
      <c r="D11" s="44">
        <v>0.115</v>
      </c>
      <c r="E11" s="45">
        <v>1.6760619880000001</v>
      </c>
      <c r="F11" s="46">
        <v>5.0488728219999999E-7</v>
      </c>
      <c r="G11" s="46">
        <v>0.89700305459999996</v>
      </c>
      <c r="H11" s="46">
        <v>0.1397263557</v>
      </c>
      <c r="I11" s="46">
        <f t="shared" si="0"/>
        <v>0.98591881647058832</v>
      </c>
      <c r="J11" s="46">
        <f t="shared" si="0"/>
        <v>2.9699251894117647E-7</v>
      </c>
      <c r="K11" s="46">
        <f t="shared" si="0"/>
        <v>0.52764885564705877</v>
      </c>
      <c r="L11" s="46">
        <f t="shared" si="1"/>
        <v>4.8348219965397926E-2</v>
      </c>
    </row>
    <row r="12" spans="1:12" x14ac:dyDescent="0.15">
      <c r="B12" s="37">
        <v>-0.05</v>
      </c>
      <c r="C12" s="8">
        <v>0</v>
      </c>
      <c r="D12" s="38">
        <v>0.15</v>
      </c>
      <c r="E12" s="47">
        <v>1.891657352</v>
      </c>
      <c r="F12" s="48">
        <v>4.3574252119999999E-7</v>
      </c>
      <c r="G12" s="48">
        <v>0.35779336090000002</v>
      </c>
      <c r="H12" s="48">
        <v>5.2805967629999999E-2</v>
      </c>
      <c r="I12" s="48">
        <f t="shared" si="0"/>
        <v>1.1127396188235295</v>
      </c>
      <c r="J12" s="48">
        <f t="shared" si="0"/>
        <v>2.5631913011764708E-7</v>
      </c>
      <c r="K12" s="48">
        <f t="shared" si="0"/>
        <v>0.21046668288235296</v>
      </c>
      <c r="L12" s="48">
        <f t="shared" si="1"/>
        <v>1.8271961117647062E-2</v>
      </c>
    </row>
    <row r="13" spans="1:12" x14ac:dyDescent="0.15">
      <c r="B13" s="37">
        <v>-0.05</v>
      </c>
      <c r="C13" s="8">
        <v>0</v>
      </c>
      <c r="D13" s="38">
        <v>0.2</v>
      </c>
      <c r="E13" s="47">
        <v>1.9649471039999999</v>
      </c>
      <c r="F13" s="48">
        <v>4.3057968920000001E-7</v>
      </c>
      <c r="G13" s="48">
        <v>0.15398968760000001</v>
      </c>
      <c r="H13" s="48">
        <v>3.0113466080000002E-2</v>
      </c>
      <c r="I13" s="48">
        <f t="shared" si="0"/>
        <v>1.1558512376470589</v>
      </c>
      <c r="J13" s="48">
        <f t="shared" si="0"/>
        <v>2.5328217011764709E-7</v>
      </c>
      <c r="K13" s="48">
        <f t="shared" si="0"/>
        <v>9.0582169176470592E-2</v>
      </c>
      <c r="L13" s="48">
        <f t="shared" si="1"/>
        <v>1.0419884456747406E-2</v>
      </c>
    </row>
    <row r="14" spans="1:12" x14ac:dyDescent="0.15">
      <c r="B14" s="37">
        <v>-0.05</v>
      </c>
      <c r="C14" s="8">
        <v>0</v>
      </c>
      <c r="D14" s="38">
        <v>0.3</v>
      </c>
      <c r="E14" s="47">
        <v>2.0398797989999999</v>
      </c>
      <c r="F14" s="48">
        <v>2.5644112610000002E-7</v>
      </c>
      <c r="G14" s="48">
        <v>5.0055142490000003E-2</v>
      </c>
      <c r="H14" s="48">
        <v>1.8342424180000001E-2</v>
      </c>
      <c r="I14" s="48">
        <f t="shared" si="0"/>
        <v>1.1999292935294117</v>
      </c>
      <c r="J14" s="48">
        <f t="shared" si="0"/>
        <v>1.5084772123529413E-7</v>
      </c>
      <c r="K14" s="48">
        <f t="shared" si="0"/>
        <v>2.9444201464705885E-2</v>
      </c>
      <c r="L14" s="48">
        <f t="shared" si="1"/>
        <v>6.3468595778546719E-3</v>
      </c>
    </row>
    <row r="15" spans="1:12" x14ac:dyDescent="0.15">
      <c r="B15" s="37">
        <v>-0.05</v>
      </c>
      <c r="C15" s="8">
        <v>0</v>
      </c>
      <c r="D15" s="38">
        <v>0.4</v>
      </c>
      <c r="E15" s="47">
        <v>2.0985507970000001</v>
      </c>
      <c r="F15" s="48">
        <v>9.0245855229999994E-8</v>
      </c>
      <c r="G15" s="48">
        <v>2.1623693409999999E-2</v>
      </c>
      <c r="H15" s="48">
        <v>1.0169119569999999E-2</v>
      </c>
      <c r="I15" s="48">
        <f t="shared" si="0"/>
        <v>1.2344416452941178</v>
      </c>
      <c r="J15" s="48">
        <f t="shared" si="0"/>
        <v>5.3085797194117645E-8</v>
      </c>
      <c r="K15" s="48">
        <f t="shared" si="0"/>
        <v>1.2719819652941175E-2</v>
      </c>
      <c r="L15" s="48">
        <f t="shared" si="1"/>
        <v>3.5187264948096887E-3</v>
      </c>
    </row>
    <row r="16" spans="1:12" x14ac:dyDescent="0.15">
      <c r="B16" s="39">
        <v>-0.05</v>
      </c>
      <c r="C16" s="40">
        <v>0</v>
      </c>
      <c r="D16" s="41">
        <v>0.5</v>
      </c>
      <c r="E16" s="47">
        <v>2.1506187919999999</v>
      </c>
      <c r="F16" s="48">
        <v>-1.472986071E-7</v>
      </c>
      <c r="G16" s="48">
        <v>1.014711056E-2</v>
      </c>
      <c r="H16" s="48">
        <v>1.2138235620000001E-3</v>
      </c>
      <c r="I16" s="48">
        <f t="shared" si="0"/>
        <v>1.2650698776470588</v>
      </c>
      <c r="J16" s="48">
        <f t="shared" si="0"/>
        <v>-8.6646239470588239E-8</v>
      </c>
      <c r="K16" s="48">
        <f t="shared" si="0"/>
        <v>5.9688885647058831E-3</v>
      </c>
      <c r="L16" s="48">
        <f t="shared" si="1"/>
        <v>4.2000815294117652E-4</v>
      </c>
    </row>
    <row r="17" spans="2:12" x14ac:dyDescent="0.15">
      <c r="B17" s="42">
        <v>0</v>
      </c>
      <c r="C17" s="43">
        <v>0</v>
      </c>
      <c r="D17" s="44">
        <v>0.115</v>
      </c>
      <c r="E17" s="45">
        <v>0.1813963354</v>
      </c>
      <c r="F17" s="46">
        <v>-2.3700965810000002E-6</v>
      </c>
      <c r="G17" s="46">
        <v>0.1235051826</v>
      </c>
      <c r="H17" s="46">
        <v>0.2482814938</v>
      </c>
      <c r="I17" s="46">
        <f t="shared" si="0"/>
        <v>0.10670372670588235</v>
      </c>
      <c r="J17" s="46">
        <f t="shared" si="0"/>
        <v>-1.3941744594117649E-6</v>
      </c>
      <c r="K17" s="46">
        <f t="shared" si="0"/>
        <v>7.2650107411764711E-2</v>
      </c>
      <c r="L17" s="46">
        <f t="shared" si="1"/>
        <v>8.5910551487889286E-2</v>
      </c>
    </row>
    <row r="18" spans="2:12" x14ac:dyDescent="0.15">
      <c r="B18" s="37">
        <v>0</v>
      </c>
      <c r="C18" s="8">
        <v>0</v>
      </c>
      <c r="D18" s="38">
        <v>0.15</v>
      </c>
      <c r="E18" s="47">
        <v>2.0432319639999998</v>
      </c>
      <c r="F18" s="48">
        <v>3.0034973970000001E-7</v>
      </c>
      <c r="G18" s="48">
        <v>0.21399922669999999</v>
      </c>
      <c r="H18" s="48">
        <v>6.6222004589999994E-2</v>
      </c>
      <c r="I18" s="48">
        <f t="shared" si="0"/>
        <v>1.2019011552941177</v>
      </c>
      <c r="J18" s="48">
        <f t="shared" si="0"/>
        <v>1.7667631747058824E-7</v>
      </c>
      <c r="K18" s="48">
        <f t="shared" si="0"/>
        <v>0.12588189805882352</v>
      </c>
      <c r="L18" s="48">
        <f t="shared" si="1"/>
        <v>2.2914188439446367E-2</v>
      </c>
    </row>
    <row r="19" spans="2:12" x14ac:dyDescent="0.15">
      <c r="B19" s="37">
        <v>0</v>
      </c>
      <c r="C19" s="8">
        <v>0</v>
      </c>
      <c r="D19" s="38">
        <v>0.2</v>
      </c>
      <c r="E19" s="47">
        <v>2.0195834640000001</v>
      </c>
      <c r="F19" s="48">
        <v>3.424028421E-7</v>
      </c>
      <c r="G19" s="48">
        <v>0.11468219759999999</v>
      </c>
      <c r="H19" s="48">
        <v>3.228580952E-2</v>
      </c>
      <c r="I19" s="48">
        <f t="shared" si="0"/>
        <v>1.1879902729411767</v>
      </c>
      <c r="J19" s="48">
        <f t="shared" si="0"/>
        <v>2.0141343652941176E-7</v>
      </c>
      <c r="K19" s="48">
        <f t="shared" si="0"/>
        <v>6.7460116235294118E-2</v>
      </c>
      <c r="L19" s="48">
        <f t="shared" si="1"/>
        <v>1.1171560387543253E-2</v>
      </c>
    </row>
    <row r="20" spans="2:12" x14ac:dyDescent="0.15">
      <c r="B20" s="37">
        <v>0</v>
      </c>
      <c r="C20" s="8">
        <v>0</v>
      </c>
      <c r="D20" s="38">
        <v>0.3</v>
      </c>
      <c r="E20" s="47">
        <v>2.0541648860000001</v>
      </c>
      <c r="F20" s="48">
        <v>1.3020166989999999E-7</v>
      </c>
      <c r="G20" s="48">
        <v>4.11708951E-2</v>
      </c>
      <c r="H20" s="48">
        <v>1.851599663E-2</v>
      </c>
      <c r="I20" s="48">
        <f t="shared" si="0"/>
        <v>1.2083322858823531</v>
      </c>
      <c r="J20" s="48">
        <f t="shared" si="0"/>
        <v>7.6589217588235296E-8</v>
      </c>
      <c r="K20" s="48">
        <f t="shared" si="0"/>
        <v>2.4218173588235296E-2</v>
      </c>
      <c r="L20" s="48">
        <f t="shared" si="1"/>
        <v>6.4069192491349484E-3</v>
      </c>
    </row>
    <row r="21" spans="2:12" x14ac:dyDescent="0.15">
      <c r="B21" s="37">
        <v>0</v>
      </c>
      <c r="C21" s="8">
        <v>0</v>
      </c>
      <c r="D21" s="38">
        <v>0.4</v>
      </c>
      <c r="E21" s="47">
        <v>2.103883266</v>
      </c>
      <c r="F21" s="48">
        <v>1.644931018E-7</v>
      </c>
      <c r="G21" s="48">
        <v>1.8271757289999999E-2</v>
      </c>
      <c r="H21" s="48">
        <v>1.0281563739999999E-2</v>
      </c>
      <c r="I21" s="48">
        <f t="shared" si="0"/>
        <v>1.2375783917647059</v>
      </c>
      <c r="J21" s="48">
        <f t="shared" si="0"/>
        <v>9.6760648117647062E-8</v>
      </c>
      <c r="K21" s="48">
        <f t="shared" si="0"/>
        <v>1.0748092523529412E-2</v>
      </c>
      <c r="L21" s="48">
        <f t="shared" si="1"/>
        <v>3.5576345121107267E-3</v>
      </c>
    </row>
    <row r="22" spans="2:12" x14ac:dyDescent="0.15">
      <c r="B22" s="39">
        <v>0</v>
      </c>
      <c r="C22" s="40">
        <v>0</v>
      </c>
      <c r="D22" s="41">
        <v>0.5</v>
      </c>
      <c r="E22" s="47">
        <v>2.1535317900000002</v>
      </c>
      <c r="F22" s="48">
        <v>-1.7800209660000001E-7</v>
      </c>
      <c r="G22" s="48">
        <v>8.7751289829999992E-3</v>
      </c>
      <c r="H22" s="48">
        <v>1.231383532E-3</v>
      </c>
      <c r="I22" s="48">
        <f t="shared" si="0"/>
        <v>1.2667834058823531</v>
      </c>
      <c r="J22" s="48">
        <f t="shared" si="0"/>
        <v>-1.0470711564705884E-7</v>
      </c>
      <c r="K22" s="48">
        <f t="shared" si="0"/>
        <v>5.1618405782352939E-3</v>
      </c>
      <c r="L22" s="48">
        <f t="shared" si="1"/>
        <v>4.2608426712802773E-4</v>
      </c>
    </row>
    <row r="23" spans="2:12" x14ac:dyDescent="0.15">
      <c r="B23" s="42">
        <v>6.5000000000000002E-2</v>
      </c>
      <c r="C23" s="43">
        <v>0</v>
      </c>
      <c r="D23" s="44">
        <v>1.4999999999999999E-2</v>
      </c>
      <c r="E23" s="45">
        <v>-0.2948361337</v>
      </c>
      <c r="F23" s="46">
        <v>2.0772749850000002E-6</v>
      </c>
      <c r="G23" s="46">
        <v>0.14983545240000001</v>
      </c>
      <c r="H23" s="46">
        <v>7.2062723339999996E-2</v>
      </c>
      <c r="I23" s="46">
        <f t="shared" si="0"/>
        <v>-0.17343301982352941</v>
      </c>
      <c r="J23" s="46">
        <f t="shared" si="0"/>
        <v>1.2219264617647061E-6</v>
      </c>
      <c r="K23" s="46">
        <f t="shared" si="0"/>
        <v>8.8138501411764714E-2</v>
      </c>
      <c r="L23" s="46">
        <f t="shared" si="1"/>
        <v>2.4935198387543253E-2</v>
      </c>
    </row>
    <row r="24" spans="2:12" x14ac:dyDescent="0.15">
      <c r="B24" s="37">
        <v>6.5000000000000002E-2</v>
      </c>
      <c r="C24" s="8">
        <v>0</v>
      </c>
      <c r="D24" s="38">
        <v>0.05</v>
      </c>
      <c r="E24" s="47">
        <v>-0.17993159589999999</v>
      </c>
      <c r="F24" s="48">
        <v>1.507413003E-6</v>
      </c>
      <c r="G24" s="48">
        <v>0.32325434679999998</v>
      </c>
      <c r="H24" s="48">
        <v>9.2553272840000006E-2</v>
      </c>
      <c r="I24" s="48">
        <f t="shared" si="0"/>
        <v>-0.10584211523529412</v>
      </c>
      <c r="J24" s="48">
        <f t="shared" si="0"/>
        <v>8.8671353117647061E-7</v>
      </c>
      <c r="K24" s="48">
        <f t="shared" si="0"/>
        <v>0.19014961576470588</v>
      </c>
      <c r="L24" s="48">
        <f t="shared" si="1"/>
        <v>3.2025353923875441E-2</v>
      </c>
    </row>
    <row r="25" spans="2:12" x14ac:dyDescent="0.15">
      <c r="B25" s="37">
        <v>6.5000000000000002E-2</v>
      </c>
      <c r="C25" s="8">
        <v>0</v>
      </c>
      <c r="D25" s="38">
        <v>0.1</v>
      </c>
      <c r="E25" s="47">
        <v>0.1572463214</v>
      </c>
      <c r="F25" s="48">
        <v>3.771813681E-6</v>
      </c>
      <c r="G25" s="48">
        <v>0.21295893190000001</v>
      </c>
      <c r="H25" s="48">
        <v>7.3755957189999999E-2</v>
      </c>
      <c r="I25" s="48">
        <f t="shared" si="0"/>
        <v>9.2497836117647059E-2</v>
      </c>
      <c r="J25" s="48">
        <f t="shared" si="0"/>
        <v>2.21871393E-6</v>
      </c>
      <c r="K25" s="48">
        <f t="shared" si="0"/>
        <v>0.12526995994117648</v>
      </c>
      <c r="L25" s="48">
        <f t="shared" si="1"/>
        <v>2.5521092453287198E-2</v>
      </c>
    </row>
    <row r="26" spans="2:12" x14ac:dyDescent="0.15">
      <c r="B26" s="37">
        <v>6.5000000000000002E-2</v>
      </c>
      <c r="C26" s="8">
        <v>0</v>
      </c>
      <c r="D26" s="38">
        <v>0.15</v>
      </c>
      <c r="E26" s="47">
        <v>1.994333506</v>
      </c>
      <c r="F26" s="48">
        <v>8.544434422E-7</v>
      </c>
      <c r="G26" s="48">
        <v>3.9325412359999999E-2</v>
      </c>
      <c r="H26" s="48">
        <v>6.4334005119999996E-2</v>
      </c>
      <c r="I26" s="48">
        <f t="shared" si="0"/>
        <v>1.1731373564705883</v>
      </c>
      <c r="J26" s="48">
        <f t="shared" si="0"/>
        <v>5.026137895294118E-7</v>
      </c>
      <c r="K26" s="48">
        <f t="shared" si="0"/>
        <v>2.3132595505882352E-2</v>
      </c>
      <c r="L26" s="48">
        <f t="shared" si="1"/>
        <v>2.2260901425605537E-2</v>
      </c>
    </row>
    <row r="27" spans="2:12" x14ac:dyDescent="0.15">
      <c r="B27" s="37">
        <v>6.5000000000000002E-2</v>
      </c>
      <c r="C27" s="8">
        <v>0</v>
      </c>
      <c r="D27" s="38">
        <v>0.2</v>
      </c>
      <c r="E27" s="47">
        <v>2.037601709</v>
      </c>
      <c r="F27" s="48">
        <v>6.998603794E-7</v>
      </c>
      <c r="G27" s="48">
        <v>3.3966846760000002E-2</v>
      </c>
      <c r="H27" s="48">
        <v>3.290905803E-2</v>
      </c>
      <c r="I27" s="48">
        <f t="shared" si="0"/>
        <v>1.1985892405882352</v>
      </c>
      <c r="J27" s="48">
        <f t="shared" si="0"/>
        <v>4.1168257611764707E-7</v>
      </c>
      <c r="K27" s="48">
        <f t="shared" si="0"/>
        <v>1.998049809411765E-2</v>
      </c>
      <c r="L27" s="48">
        <f t="shared" si="1"/>
        <v>1.1387217311418686E-2</v>
      </c>
    </row>
    <row r="28" spans="2:12" x14ac:dyDescent="0.15">
      <c r="B28" s="37">
        <v>6.5000000000000002E-2</v>
      </c>
      <c r="C28" s="8">
        <v>0</v>
      </c>
      <c r="D28" s="38">
        <v>0.3</v>
      </c>
      <c r="E28" s="47">
        <v>2.064940929</v>
      </c>
      <c r="F28" s="48">
        <v>4.8270203479999998E-7</v>
      </c>
      <c r="G28" s="48">
        <v>2.005864307E-2</v>
      </c>
      <c r="H28" s="48">
        <v>1.859904267E-2</v>
      </c>
      <c r="I28" s="48">
        <f t="shared" si="0"/>
        <v>1.2146711347058825</v>
      </c>
      <c r="J28" s="48">
        <f t="shared" si="0"/>
        <v>2.839423734117647E-7</v>
      </c>
      <c r="K28" s="48">
        <f t="shared" si="0"/>
        <v>1.1799201805882353E-2</v>
      </c>
      <c r="L28" s="48">
        <f t="shared" si="1"/>
        <v>6.4356549031141875E-3</v>
      </c>
    </row>
    <row r="29" spans="2:12" x14ac:dyDescent="0.15">
      <c r="B29" s="37">
        <v>6.5000000000000002E-2</v>
      </c>
      <c r="C29" s="8">
        <v>0</v>
      </c>
      <c r="D29" s="38">
        <v>0.4</v>
      </c>
      <c r="E29" s="47">
        <v>2.10855031</v>
      </c>
      <c r="F29" s="48">
        <v>4.3528004309999998E-7</v>
      </c>
      <c r="G29" s="48">
        <v>1.0856346229999999E-2</v>
      </c>
      <c r="H29" s="48">
        <v>1.039522421E-2</v>
      </c>
      <c r="I29" s="48">
        <f t="shared" si="0"/>
        <v>1.2403237117647059</v>
      </c>
      <c r="J29" s="48">
        <f t="shared" si="0"/>
        <v>2.5604708417647061E-7</v>
      </c>
      <c r="K29" s="48">
        <f t="shared" si="0"/>
        <v>6.3860860176470583E-3</v>
      </c>
      <c r="L29" s="48">
        <f t="shared" si="1"/>
        <v>3.5969633944636682E-3</v>
      </c>
    </row>
    <row r="30" spans="2:12" x14ac:dyDescent="0.15">
      <c r="B30" s="39">
        <v>6.5000000000000002E-2</v>
      </c>
      <c r="C30" s="40">
        <v>0</v>
      </c>
      <c r="D30" s="41">
        <v>0.5</v>
      </c>
      <c r="E30" s="47">
        <v>2.156333923</v>
      </c>
      <c r="F30" s="48">
        <v>-2.8237252539999999E-8</v>
      </c>
      <c r="G30" s="48">
        <v>5.8680679650000003E-3</v>
      </c>
      <c r="H30" s="48">
        <v>1.2542438930000001E-3</v>
      </c>
      <c r="I30" s="48">
        <f t="shared" si="0"/>
        <v>1.2684317194117647</v>
      </c>
      <c r="J30" s="48">
        <f t="shared" si="0"/>
        <v>-1.6610148552941178E-8</v>
      </c>
      <c r="K30" s="48">
        <f t="shared" si="0"/>
        <v>3.4518046852941181E-3</v>
      </c>
      <c r="L30" s="48">
        <f t="shared" si="1"/>
        <v>4.339944266435987E-4</v>
      </c>
    </row>
    <row r="31" spans="2:12" x14ac:dyDescent="0.15">
      <c r="B31" s="42">
        <v>0.1</v>
      </c>
      <c r="C31" s="43">
        <v>0</v>
      </c>
      <c r="D31" s="44">
        <v>1.4999999999999999E-2</v>
      </c>
      <c r="E31" s="45">
        <v>-0.630523324</v>
      </c>
      <c r="F31" s="46">
        <v>1.079733011E-6</v>
      </c>
      <c r="G31" s="46">
        <v>2.4540549139999999E-2</v>
      </c>
      <c r="H31" s="46">
        <v>8.0471634860000002E-2</v>
      </c>
      <c r="I31" s="46">
        <f t="shared" si="0"/>
        <v>-0.37089607294117649</v>
      </c>
      <c r="J31" s="46">
        <f t="shared" si="0"/>
        <v>6.3513706529411763E-7</v>
      </c>
      <c r="K31" s="46">
        <f t="shared" si="0"/>
        <v>1.4435617141176471E-2</v>
      </c>
      <c r="L31" s="46">
        <f t="shared" si="1"/>
        <v>2.7844856352941181E-2</v>
      </c>
    </row>
    <row r="32" spans="2:12" x14ac:dyDescent="0.15">
      <c r="B32" s="37">
        <v>0.1</v>
      </c>
      <c r="C32" s="8">
        <v>0</v>
      </c>
      <c r="D32" s="38">
        <v>0.05</v>
      </c>
      <c r="E32" s="47">
        <v>-0.38983377809999997</v>
      </c>
      <c r="F32" s="48">
        <v>8.8013712230000005E-7</v>
      </c>
      <c r="G32" s="48">
        <v>7.4399940669999998E-2</v>
      </c>
      <c r="H32" s="48">
        <v>0.1047296301</v>
      </c>
      <c r="I32" s="48">
        <f t="shared" si="0"/>
        <v>-0.22931398711764706</v>
      </c>
      <c r="J32" s="48">
        <f t="shared" si="0"/>
        <v>5.17727719E-7</v>
      </c>
      <c r="K32" s="48">
        <f t="shared" si="0"/>
        <v>4.3764670982352941E-2</v>
      </c>
      <c r="L32" s="48">
        <f t="shared" si="1"/>
        <v>3.6238626332179932E-2</v>
      </c>
    </row>
    <row r="33" spans="2:12" x14ac:dyDescent="0.15">
      <c r="B33" s="37">
        <v>0.1</v>
      </c>
      <c r="C33" s="8">
        <v>0</v>
      </c>
      <c r="D33" s="38">
        <v>0.1</v>
      </c>
      <c r="E33" s="47">
        <v>0.29909780619999998</v>
      </c>
      <c r="F33" s="48">
        <v>3.3716332840000001E-6</v>
      </c>
      <c r="G33" s="48">
        <v>4.8100933429999999E-2</v>
      </c>
      <c r="H33" s="48">
        <v>0.1097399592</v>
      </c>
      <c r="I33" s="48">
        <f t="shared" si="0"/>
        <v>0.17593988599999999</v>
      </c>
      <c r="J33" s="48">
        <f t="shared" si="0"/>
        <v>1.9833136964705885E-6</v>
      </c>
      <c r="K33" s="48">
        <f t="shared" si="0"/>
        <v>2.8294666723529413E-2</v>
      </c>
      <c r="L33" s="48">
        <f t="shared" si="1"/>
        <v>3.7972304221453292E-2</v>
      </c>
    </row>
    <row r="34" spans="2:12" x14ac:dyDescent="0.15">
      <c r="B34" s="37">
        <v>0.1</v>
      </c>
      <c r="C34" s="8">
        <v>0</v>
      </c>
      <c r="D34" s="38">
        <v>0.15</v>
      </c>
      <c r="E34" s="47">
        <v>1.9748636479999999</v>
      </c>
      <c r="F34" s="48">
        <v>1.153234962E-6</v>
      </c>
      <c r="G34" s="48">
        <v>-2.1435653789999998E-2</v>
      </c>
      <c r="H34" s="48">
        <v>6.4339764420000001E-2</v>
      </c>
      <c r="I34" s="48">
        <f t="shared" si="0"/>
        <v>1.1616844988235293</v>
      </c>
      <c r="J34" s="48">
        <f t="shared" si="0"/>
        <v>6.7837350705882355E-7</v>
      </c>
      <c r="K34" s="48">
        <f t="shared" si="0"/>
        <v>-1.2609208111764705E-2</v>
      </c>
      <c r="L34" s="48">
        <f t="shared" si="1"/>
        <v>2.2262894262975782E-2</v>
      </c>
    </row>
    <row r="35" spans="2:12" x14ac:dyDescent="0.15">
      <c r="B35" s="37">
        <v>0.1</v>
      </c>
      <c r="C35" s="8">
        <v>0</v>
      </c>
      <c r="D35" s="38">
        <v>0.2</v>
      </c>
      <c r="E35" s="47">
        <v>2.0342342850000001</v>
      </c>
      <c r="F35" s="48">
        <v>7.519496421E-7</v>
      </c>
      <c r="G35" s="48">
        <v>-4.506672267E-3</v>
      </c>
      <c r="H35" s="48">
        <v>3.260037675E-2</v>
      </c>
      <c r="I35" s="48">
        <f t="shared" si="0"/>
        <v>1.1966084029411765</v>
      </c>
      <c r="J35" s="48">
        <f t="shared" si="0"/>
        <v>4.4232331888235298E-7</v>
      </c>
      <c r="K35" s="48">
        <f t="shared" si="0"/>
        <v>-2.6509836864705883E-3</v>
      </c>
      <c r="L35" s="48">
        <f t="shared" si="1"/>
        <v>1.1280407179930797E-2</v>
      </c>
    </row>
    <row r="36" spans="2:12" x14ac:dyDescent="0.15">
      <c r="B36" s="37">
        <v>0.1</v>
      </c>
      <c r="C36" s="8">
        <v>0</v>
      </c>
      <c r="D36" s="38">
        <v>0.3</v>
      </c>
      <c r="E36" s="47">
        <v>2.0661742689999998</v>
      </c>
      <c r="F36" s="48">
        <v>4.5075154279999998E-7</v>
      </c>
      <c r="G36" s="48">
        <v>7.2309128009999998E-3</v>
      </c>
      <c r="H36" s="48">
        <v>1.8590996039999998E-2</v>
      </c>
      <c r="I36" s="48">
        <f t="shared" si="0"/>
        <v>1.2153966288235294</v>
      </c>
      <c r="J36" s="48">
        <f t="shared" si="0"/>
        <v>2.6514796635294115E-7</v>
      </c>
      <c r="K36" s="48">
        <f t="shared" si="0"/>
        <v>4.2534781182352937E-3</v>
      </c>
      <c r="L36" s="48">
        <f t="shared" si="1"/>
        <v>6.4328706020761245E-3</v>
      </c>
    </row>
    <row r="37" spans="2:12" x14ac:dyDescent="0.15">
      <c r="B37" s="37">
        <v>0.1</v>
      </c>
      <c r="C37" s="8">
        <v>0</v>
      </c>
      <c r="D37" s="38">
        <v>0.4</v>
      </c>
      <c r="E37" s="47">
        <v>2.109619141</v>
      </c>
      <c r="F37" s="48">
        <v>3.4453054810000003E-7</v>
      </c>
      <c r="G37" s="48">
        <v>6.1504123729999999E-3</v>
      </c>
      <c r="H37" s="48">
        <v>1.0441269729999999E-2</v>
      </c>
      <c r="I37" s="48">
        <f t="shared" si="0"/>
        <v>1.2409524358823529</v>
      </c>
      <c r="J37" s="48">
        <f t="shared" si="0"/>
        <v>2.0266502829411768E-7</v>
      </c>
      <c r="K37" s="48">
        <f t="shared" si="0"/>
        <v>3.6178896311764705E-3</v>
      </c>
      <c r="L37" s="48">
        <f t="shared" si="1"/>
        <v>3.612896100346021E-3</v>
      </c>
    </row>
    <row r="38" spans="2:12" x14ac:dyDescent="0.15">
      <c r="B38" s="39">
        <v>0.1</v>
      </c>
      <c r="C38" s="40">
        <v>0</v>
      </c>
      <c r="D38" s="41">
        <v>0.5</v>
      </c>
      <c r="E38" s="47">
        <v>2.1572761539999998</v>
      </c>
      <c r="F38" s="48">
        <v>-5.8032836309999998E-9</v>
      </c>
      <c r="G38" s="48">
        <v>3.9982059970000003E-3</v>
      </c>
      <c r="H38" s="48">
        <v>1.266355161E-3</v>
      </c>
      <c r="I38" s="48">
        <f t="shared" si="0"/>
        <v>1.2689859729411763</v>
      </c>
      <c r="J38" s="48">
        <f t="shared" si="0"/>
        <v>-3.4136962535294117E-9</v>
      </c>
      <c r="K38" s="48">
        <f t="shared" si="0"/>
        <v>2.3518858805882353E-3</v>
      </c>
      <c r="L38" s="48">
        <f t="shared" si="1"/>
        <v>4.3818517681660905E-4</v>
      </c>
    </row>
    <row r="39" spans="2:12" x14ac:dyDescent="0.15">
      <c r="B39" s="42">
        <v>0.15</v>
      </c>
      <c r="C39" s="43">
        <v>0</v>
      </c>
      <c r="D39" s="44">
        <v>1.4999999999999999E-2</v>
      </c>
      <c r="E39" s="45">
        <v>-0.69493937490000002</v>
      </c>
      <c r="F39" s="46">
        <v>6.2611201199999998E-7</v>
      </c>
      <c r="G39" s="46">
        <v>-1.8141541630000001E-2</v>
      </c>
      <c r="H39" s="46">
        <v>0.1011047289</v>
      </c>
      <c r="I39" s="46">
        <f t="shared" si="0"/>
        <v>-0.40878786758823532</v>
      </c>
      <c r="J39" s="46">
        <f t="shared" si="0"/>
        <v>3.6830118352941178E-7</v>
      </c>
      <c r="K39" s="46">
        <f t="shared" si="0"/>
        <v>-1.0671495076470588E-2</v>
      </c>
      <c r="L39" s="46">
        <f t="shared" si="1"/>
        <v>3.4984335259515574E-2</v>
      </c>
    </row>
    <row r="40" spans="2:12" x14ac:dyDescent="0.15">
      <c r="B40" s="37">
        <v>0.15</v>
      </c>
      <c r="C40" s="8">
        <v>0</v>
      </c>
      <c r="D40" s="38">
        <v>0.05</v>
      </c>
      <c r="E40" s="47">
        <v>-0.4376316965</v>
      </c>
      <c r="F40" s="48">
        <v>4.0094880659999998E-7</v>
      </c>
      <c r="G40" s="48">
        <v>-5.4473131899999999E-2</v>
      </c>
      <c r="H40" s="48">
        <v>0.1416669935</v>
      </c>
      <c r="I40" s="48">
        <f t="shared" si="0"/>
        <v>-0.25743040970588238</v>
      </c>
      <c r="J40" s="48">
        <f t="shared" si="0"/>
        <v>2.3585223917647059E-7</v>
      </c>
      <c r="K40" s="48">
        <f t="shared" si="0"/>
        <v>-3.2043018764705881E-2</v>
      </c>
      <c r="L40" s="48">
        <f t="shared" si="1"/>
        <v>4.9019720934256064E-2</v>
      </c>
    </row>
    <row r="41" spans="2:12" x14ac:dyDescent="0.15">
      <c r="B41" s="37">
        <v>0.15</v>
      </c>
      <c r="C41" s="8">
        <v>0</v>
      </c>
      <c r="D41" s="38">
        <v>0.1</v>
      </c>
      <c r="E41" s="47">
        <v>0.43443810939999999</v>
      </c>
      <c r="F41" s="48">
        <v>1.4512559119999999E-6</v>
      </c>
      <c r="G41" s="48">
        <v>-0.1095343307</v>
      </c>
      <c r="H41" s="48">
        <v>0.16801241040000001</v>
      </c>
      <c r="I41" s="48">
        <f t="shared" si="0"/>
        <v>0.25555182905882351</v>
      </c>
      <c r="J41" s="48">
        <f t="shared" si="0"/>
        <v>8.5367994823529408E-7</v>
      </c>
      <c r="K41" s="48">
        <f t="shared" si="0"/>
        <v>-6.4431959235294115E-2</v>
      </c>
      <c r="L41" s="48">
        <f t="shared" si="1"/>
        <v>5.8135782145328725E-2</v>
      </c>
    </row>
    <row r="42" spans="2:12" x14ac:dyDescent="0.15">
      <c r="B42" s="37">
        <v>0.15</v>
      </c>
      <c r="C42" s="8">
        <v>0</v>
      </c>
      <c r="D42" s="38">
        <v>0.15</v>
      </c>
      <c r="E42" s="47">
        <v>1.9366989139999999</v>
      </c>
      <c r="F42" s="48">
        <v>1.8258148199999999E-6</v>
      </c>
      <c r="G42" s="48">
        <v>-0.1152317375</v>
      </c>
      <c r="H42" s="48">
        <v>6.0147825629999999E-2</v>
      </c>
      <c r="I42" s="48">
        <f t="shared" si="0"/>
        <v>1.1392346552941177</v>
      </c>
      <c r="J42" s="48">
        <f t="shared" si="0"/>
        <v>1.0740087176470588E-6</v>
      </c>
      <c r="K42" s="48">
        <f t="shared" si="0"/>
        <v>-6.7783375000000007E-2</v>
      </c>
      <c r="L42" s="48">
        <f t="shared" si="1"/>
        <v>2.0812396411764706E-2</v>
      </c>
    </row>
    <row r="43" spans="2:12" x14ac:dyDescent="0.15">
      <c r="B43" s="37">
        <v>0.15</v>
      </c>
      <c r="C43" s="8">
        <v>0</v>
      </c>
      <c r="D43" s="38">
        <v>0.2</v>
      </c>
      <c r="E43" s="47">
        <v>2.0179755689999999</v>
      </c>
      <c r="F43" s="48">
        <v>5.4652946349999997E-7</v>
      </c>
      <c r="G43" s="48">
        <v>-5.2156094460000003E-2</v>
      </c>
      <c r="H43" s="48">
        <v>3.1789276749999998E-2</v>
      </c>
      <c r="I43" s="48">
        <f t="shared" si="0"/>
        <v>1.1870444523529411</v>
      </c>
      <c r="J43" s="48">
        <f t="shared" si="0"/>
        <v>3.2148791970588234E-7</v>
      </c>
      <c r="K43" s="48">
        <f t="shared" si="0"/>
        <v>-3.0680055564705884E-2</v>
      </c>
      <c r="L43" s="48">
        <f t="shared" si="1"/>
        <v>1.099974974048443E-2</v>
      </c>
    </row>
    <row r="44" spans="2:12" x14ac:dyDescent="0.15">
      <c r="B44" s="37">
        <v>0.15</v>
      </c>
      <c r="C44" s="8">
        <v>0</v>
      </c>
      <c r="D44" s="38">
        <v>0.3</v>
      </c>
      <c r="E44" s="47">
        <v>2.0630853180000002</v>
      </c>
      <c r="F44" s="48">
        <v>4.2391434359999999E-7</v>
      </c>
      <c r="G44" s="48">
        <v>-9.6102934329999994E-3</v>
      </c>
      <c r="H44" s="48">
        <v>1.8544143070000001E-2</v>
      </c>
      <c r="I44" s="48">
        <f t="shared" si="0"/>
        <v>1.2135795988235296</v>
      </c>
      <c r="J44" s="48">
        <f t="shared" si="0"/>
        <v>2.4936137858823529E-7</v>
      </c>
      <c r="K44" s="48">
        <f t="shared" si="0"/>
        <v>-5.6531137841176471E-3</v>
      </c>
      <c r="L44" s="48">
        <f t="shared" si="1"/>
        <v>6.4166585017301049E-3</v>
      </c>
    </row>
    <row r="45" spans="2:12" x14ac:dyDescent="0.15">
      <c r="B45" s="37">
        <v>0.15</v>
      </c>
      <c r="C45" s="8">
        <v>0</v>
      </c>
      <c r="D45" s="38">
        <v>0.4</v>
      </c>
      <c r="E45" s="47">
        <v>2.109339952</v>
      </c>
      <c r="F45" s="48">
        <v>4.5938148219999999E-7</v>
      </c>
      <c r="G45" s="48">
        <v>-5.4839794760000004E-4</v>
      </c>
      <c r="H45" s="48">
        <v>1.049092412E-2</v>
      </c>
      <c r="I45" s="48">
        <f t="shared" si="0"/>
        <v>1.2407882070588236</v>
      </c>
      <c r="J45" s="48">
        <f t="shared" si="0"/>
        <v>2.7022440129411766E-7</v>
      </c>
      <c r="K45" s="48">
        <f t="shared" si="0"/>
        <v>-3.2258702800000004E-4</v>
      </c>
      <c r="L45" s="48">
        <f t="shared" si="1"/>
        <v>3.6300775501730107E-3</v>
      </c>
    </row>
    <row r="46" spans="2:12" x14ac:dyDescent="0.15">
      <c r="B46" s="39">
        <v>0.15</v>
      </c>
      <c r="C46" s="40">
        <v>0</v>
      </c>
      <c r="D46" s="41">
        <v>0.5</v>
      </c>
      <c r="E46" s="47">
        <v>2.1578516959999998</v>
      </c>
      <c r="F46" s="48">
        <v>1.173906696E-7</v>
      </c>
      <c r="G46" s="48">
        <v>1.272065914E-3</v>
      </c>
      <c r="H46" s="48">
        <v>1.281668316E-3</v>
      </c>
      <c r="I46" s="48">
        <f t="shared" si="0"/>
        <v>1.2693245270588234</v>
      </c>
      <c r="J46" s="48">
        <f t="shared" si="0"/>
        <v>6.9053335058823527E-8</v>
      </c>
      <c r="K46" s="48">
        <f t="shared" si="0"/>
        <v>7.482740670588235E-4</v>
      </c>
      <c r="L46" s="48">
        <f t="shared" si="1"/>
        <v>4.4348384636678205E-4</v>
      </c>
    </row>
    <row r="47" spans="2:12" x14ac:dyDescent="0.15">
      <c r="B47" s="42">
        <v>0.2</v>
      </c>
      <c r="C47" s="43">
        <v>0</v>
      </c>
      <c r="D47" s="44">
        <v>1.4999999999999999E-2</v>
      </c>
      <c r="E47" s="45">
        <v>-0.52221369740000001</v>
      </c>
      <c r="F47" s="46">
        <v>3.2194449769999998E-7</v>
      </c>
      <c r="G47" s="46">
        <v>-2.893552743E-2</v>
      </c>
      <c r="H47" s="46">
        <v>0.11603917179999999</v>
      </c>
      <c r="I47" s="46">
        <f t="shared" si="0"/>
        <v>-0.30718452788235295</v>
      </c>
      <c r="J47" s="46">
        <f t="shared" si="0"/>
        <v>1.8937911629411765E-7</v>
      </c>
      <c r="K47" s="46">
        <f t="shared" si="0"/>
        <v>-1.7020898488235296E-2</v>
      </c>
      <c r="L47" s="46">
        <f t="shared" si="1"/>
        <v>4.0151962560553638E-2</v>
      </c>
    </row>
    <row r="48" spans="2:12" x14ac:dyDescent="0.15">
      <c r="B48" s="37">
        <v>0.2</v>
      </c>
      <c r="C48" s="8">
        <v>0</v>
      </c>
      <c r="D48" s="38">
        <v>0.05</v>
      </c>
      <c r="E48" s="47">
        <v>-0.27769368890000001</v>
      </c>
      <c r="F48" s="48">
        <v>2.9350280780000001E-7</v>
      </c>
      <c r="G48" s="48">
        <v>-0.1029493734</v>
      </c>
      <c r="H48" s="48">
        <v>0.16771940890000001</v>
      </c>
      <c r="I48" s="48">
        <f t="shared" si="0"/>
        <v>-0.16334922876470589</v>
      </c>
      <c r="J48" s="48">
        <f t="shared" si="0"/>
        <v>1.7264871047058825E-7</v>
      </c>
      <c r="K48" s="48">
        <f t="shared" si="0"/>
        <v>-6.0558454941176475E-2</v>
      </c>
      <c r="L48" s="48">
        <f t="shared" si="1"/>
        <v>5.8034397543252604E-2</v>
      </c>
    </row>
    <row r="49" spans="1:12" x14ac:dyDescent="0.15">
      <c r="B49" s="37">
        <v>0.2</v>
      </c>
      <c r="C49" s="8">
        <v>0</v>
      </c>
      <c r="D49" s="38">
        <v>0.1</v>
      </c>
      <c r="E49" s="47">
        <v>0.61339217420000003</v>
      </c>
      <c r="F49" s="48">
        <v>-5.6101441709999997E-7</v>
      </c>
      <c r="G49" s="48">
        <v>-0.1947148293</v>
      </c>
      <c r="H49" s="48">
        <v>0.1928898543</v>
      </c>
      <c r="I49" s="48">
        <f t="shared" si="0"/>
        <v>0.36081892600000004</v>
      </c>
      <c r="J49" s="48">
        <f t="shared" si="0"/>
        <v>-3.3000848064705881E-7</v>
      </c>
      <c r="K49" s="48">
        <f t="shared" si="0"/>
        <v>-0.11453813488235294</v>
      </c>
      <c r="L49" s="48">
        <f t="shared" si="1"/>
        <v>6.6743894221453298E-2</v>
      </c>
    </row>
    <row r="50" spans="1:12" x14ac:dyDescent="0.15">
      <c r="B50" s="37">
        <v>0.2</v>
      </c>
      <c r="C50" s="8">
        <v>0</v>
      </c>
      <c r="D50" s="38">
        <v>0.15</v>
      </c>
      <c r="E50" s="47">
        <v>1.88846004</v>
      </c>
      <c r="F50" s="48">
        <v>1.4267194500000001E-6</v>
      </c>
      <c r="G50" s="48">
        <v>-0.1668515354</v>
      </c>
      <c r="H50" s="48">
        <v>5.3056072439999998E-2</v>
      </c>
      <c r="I50" s="48">
        <f t="shared" si="0"/>
        <v>1.1108588470588237</v>
      </c>
      <c r="J50" s="48">
        <f t="shared" si="0"/>
        <v>8.3924673529411775E-7</v>
      </c>
      <c r="K50" s="48">
        <f t="shared" si="0"/>
        <v>-9.8147962000000005E-2</v>
      </c>
      <c r="L50" s="48">
        <f t="shared" si="1"/>
        <v>1.8358502574394465E-2</v>
      </c>
    </row>
    <row r="51" spans="1:12" x14ac:dyDescent="0.15">
      <c r="B51" s="37">
        <v>0.2</v>
      </c>
      <c r="C51" s="8">
        <v>0</v>
      </c>
      <c r="D51" s="38">
        <v>0.2</v>
      </c>
      <c r="E51" s="47">
        <v>1.991333961</v>
      </c>
      <c r="F51" s="48">
        <v>5.8506441290000002E-7</v>
      </c>
      <c r="G51" s="48">
        <v>-8.2571208480000005E-2</v>
      </c>
      <c r="H51" s="48">
        <v>3.0844731260000001E-2</v>
      </c>
      <c r="I51" s="48">
        <f t="shared" si="0"/>
        <v>1.1713729182352941</v>
      </c>
      <c r="J51" s="48">
        <f t="shared" si="0"/>
        <v>3.4415553700000004E-7</v>
      </c>
      <c r="K51" s="48">
        <f t="shared" si="0"/>
        <v>-4.8571299105882357E-2</v>
      </c>
      <c r="L51" s="48">
        <f t="shared" si="1"/>
        <v>1.0672917391003461E-2</v>
      </c>
    </row>
    <row r="52" spans="1:12" x14ac:dyDescent="0.15">
      <c r="B52" s="37">
        <v>0.2</v>
      </c>
      <c r="C52" s="8">
        <v>0</v>
      </c>
      <c r="D52" s="38">
        <v>0.3</v>
      </c>
      <c r="E52" s="47">
        <v>2.0559697149999998</v>
      </c>
      <c r="F52" s="48">
        <v>4.5595535880000002E-7</v>
      </c>
      <c r="G52" s="48">
        <v>-2.2526416930000001E-2</v>
      </c>
      <c r="H52" s="48">
        <v>1.848217286E-2</v>
      </c>
      <c r="I52" s="48">
        <f t="shared" si="0"/>
        <v>1.2093939499999999</v>
      </c>
      <c r="J52" s="48">
        <f t="shared" si="0"/>
        <v>2.682090345882353E-7</v>
      </c>
      <c r="K52" s="48">
        <f t="shared" si="0"/>
        <v>-1.3250833488235294E-2</v>
      </c>
      <c r="L52" s="48">
        <f t="shared" si="1"/>
        <v>6.3952155224913498E-3</v>
      </c>
    </row>
    <row r="53" spans="1:12" x14ac:dyDescent="0.15">
      <c r="B53" s="37">
        <v>0.2</v>
      </c>
      <c r="C53" s="8">
        <v>0</v>
      </c>
      <c r="D53" s="38">
        <v>0.4</v>
      </c>
      <c r="E53" s="47">
        <v>2.1072807309999999</v>
      </c>
      <c r="F53" s="48">
        <v>3.266921169E-7</v>
      </c>
      <c r="G53" s="48">
        <v>-6.3493456689999997E-3</v>
      </c>
      <c r="H53" s="48">
        <v>1.052703243E-2</v>
      </c>
      <c r="I53" s="48">
        <f t="shared" si="0"/>
        <v>1.2395769005882353</v>
      </c>
      <c r="J53" s="48">
        <f t="shared" si="0"/>
        <v>1.9217183347058825E-7</v>
      </c>
      <c r="K53" s="48">
        <f t="shared" si="0"/>
        <v>-3.7349092170588234E-3</v>
      </c>
      <c r="L53" s="48">
        <f t="shared" si="1"/>
        <v>3.6425717750865052E-3</v>
      </c>
    </row>
    <row r="54" spans="1:12" ht="14.25" thickBot="1" x14ac:dyDescent="0.2">
      <c r="B54" s="37">
        <v>0.2</v>
      </c>
      <c r="C54" s="8">
        <v>0</v>
      </c>
      <c r="D54" s="38">
        <v>0.5</v>
      </c>
      <c r="E54" s="49">
        <v>2.1575937270000001</v>
      </c>
      <c r="F54" s="50">
        <v>2.944650817E-7</v>
      </c>
      <c r="G54" s="50">
        <v>-1.2487345380000001E-3</v>
      </c>
      <c r="H54" s="50">
        <v>1.2955070709999999E-3</v>
      </c>
      <c r="I54" s="50">
        <f t="shared" si="0"/>
        <v>1.2691727805882353</v>
      </c>
      <c r="J54" s="50">
        <f t="shared" si="0"/>
        <v>1.7321475394117649E-7</v>
      </c>
      <c r="K54" s="50">
        <f t="shared" si="0"/>
        <v>-7.3454972823529415E-4</v>
      </c>
      <c r="L54" s="50">
        <f t="shared" si="1"/>
        <v>4.4827234290657444E-4</v>
      </c>
    </row>
    <row r="55" spans="1:12" ht="14.25" thickTop="1" x14ac:dyDescent="0.15">
      <c r="A55" s="51" t="s">
        <v>33</v>
      </c>
      <c r="B55" s="52">
        <v>-0.05</v>
      </c>
      <c r="C55" s="53">
        <v>-0.15</v>
      </c>
      <c r="D55" s="54">
        <v>0.05</v>
      </c>
      <c r="E55" s="55">
        <v>1.6630729440000001</v>
      </c>
      <c r="F55" s="55">
        <v>-0.20309665800000001</v>
      </c>
      <c r="G55" s="55">
        <v>9.0459108349999998E-2</v>
      </c>
      <c r="H55" s="55">
        <v>3.100307658E-2</v>
      </c>
      <c r="I55" s="55">
        <f>E55/$C$1</f>
        <v>0.97827820235294127</v>
      </c>
      <c r="J55" s="55">
        <f>F55/$C$1</f>
        <v>-0.11946862235294119</v>
      </c>
      <c r="K55" s="55">
        <f>G55/$C$1</f>
        <v>5.3211240205882353E-2</v>
      </c>
      <c r="L55" s="55">
        <f>H55/$C$1^2</f>
        <v>1.0727708159169552E-2</v>
      </c>
    </row>
    <row r="56" spans="1:12" x14ac:dyDescent="0.15">
      <c r="B56" s="37">
        <v>-0.05</v>
      </c>
      <c r="C56" s="8">
        <v>-0.1</v>
      </c>
      <c r="D56" s="38">
        <v>0.05</v>
      </c>
      <c r="E56" s="36">
        <v>1.6724282500000001</v>
      </c>
      <c r="F56" s="36">
        <v>-0.38739302749999999</v>
      </c>
      <c r="G56" s="36">
        <v>5.0087656830000001E-2</v>
      </c>
      <c r="H56" s="36">
        <v>3.823056817E-2</v>
      </c>
      <c r="I56" s="36">
        <f t="shared" ref="I56:K83" si="2">E56/$C$1</f>
        <v>0.98378132352941183</v>
      </c>
      <c r="J56" s="36">
        <f t="shared" si="2"/>
        <v>-0.22787825147058824</v>
      </c>
      <c r="K56" s="36">
        <f t="shared" si="2"/>
        <v>2.9463327547058826E-2</v>
      </c>
      <c r="L56" s="36">
        <f t="shared" ref="L56:L97" si="3">H56/$C$1^2</f>
        <v>1.3228570301038063E-2</v>
      </c>
    </row>
    <row r="57" spans="1:12" x14ac:dyDescent="0.15">
      <c r="B57" s="37">
        <v>-0.05</v>
      </c>
      <c r="C57" s="8">
        <v>0.1</v>
      </c>
      <c r="D57" s="38">
        <v>0.05</v>
      </c>
      <c r="E57" s="36">
        <v>1.672428966</v>
      </c>
      <c r="F57" s="36">
        <v>0.3873942494</v>
      </c>
      <c r="G57" s="36">
        <v>5.0087839369999998E-2</v>
      </c>
      <c r="H57" s="36">
        <v>3.8230583069999997E-2</v>
      </c>
      <c r="I57" s="36">
        <f t="shared" si="2"/>
        <v>0.98378174470588242</v>
      </c>
      <c r="J57" s="36">
        <f t="shared" si="2"/>
        <v>0.22787897023529413</v>
      </c>
      <c r="K57" s="36">
        <f t="shared" si="2"/>
        <v>2.9463434923529413E-2</v>
      </c>
      <c r="L57" s="36">
        <f t="shared" si="3"/>
        <v>1.3228575456747405E-2</v>
      </c>
    </row>
    <row r="58" spans="1:12" x14ac:dyDescent="0.15">
      <c r="B58" s="39">
        <v>-0.05</v>
      </c>
      <c r="C58" s="40">
        <v>0.15</v>
      </c>
      <c r="D58" s="41">
        <v>0.05</v>
      </c>
      <c r="E58" s="36">
        <v>1.663073778</v>
      </c>
      <c r="F58" s="36">
        <v>0.20309810340000001</v>
      </c>
      <c r="G58" s="36">
        <v>9.0458899740000001E-2</v>
      </c>
      <c r="H58" s="36">
        <v>3.100308031E-2</v>
      </c>
      <c r="I58" s="36">
        <f t="shared" si="2"/>
        <v>0.97827869294117653</v>
      </c>
      <c r="J58" s="36">
        <f t="shared" si="2"/>
        <v>0.1194694725882353</v>
      </c>
      <c r="K58" s="36">
        <f t="shared" si="2"/>
        <v>5.3211117494117652E-2</v>
      </c>
      <c r="L58" s="36">
        <f t="shared" si="3"/>
        <v>1.072770944982699E-2</v>
      </c>
    </row>
    <row r="59" spans="1:12" x14ac:dyDescent="0.15">
      <c r="B59" s="42">
        <v>0</v>
      </c>
      <c r="C59" s="43">
        <v>-0.15</v>
      </c>
      <c r="D59" s="44">
        <v>0.05</v>
      </c>
      <c r="E59" s="45">
        <v>1.752202153</v>
      </c>
      <c r="F59" s="46">
        <v>-0.1350882649</v>
      </c>
      <c r="G59" s="46">
        <v>7.1137756110000006E-2</v>
      </c>
      <c r="H59" s="46">
        <v>3.1383261080000002E-2</v>
      </c>
      <c r="I59" s="46">
        <f t="shared" si="2"/>
        <v>1.0307071488235295</v>
      </c>
      <c r="J59" s="46">
        <f t="shared" si="2"/>
        <v>-7.9463685235294124E-2</v>
      </c>
      <c r="K59" s="46">
        <f t="shared" si="2"/>
        <v>4.1845738888235298E-2</v>
      </c>
      <c r="L59" s="46">
        <f t="shared" si="3"/>
        <v>1.0859259889273358E-2</v>
      </c>
    </row>
    <row r="60" spans="1:12" x14ac:dyDescent="0.15">
      <c r="B60" s="37">
        <v>0</v>
      </c>
      <c r="C60" s="8">
        <v>-0.1</v>
      </c>
      <c r="D60" s="38">
        <v>0.05</v>
      </c>
      <c r="E60" s="47">
        <v>1.863780499</v>
      </c>
      <c r="F60" s="48">
        <v>-0.31661891939999998</v>
      </c>
      <c r="G60" s="48">
        <v>-5.194284767E-2</v>
      </c>
      <c r="H60" s="48">
        <v>5.2881468090000001E-2</v>
      </c>
      <c r="I60" s="48">
        <f t="shared" si="2"/>
        <v>1.09634147</v>
      </c>
      <c r="J60" s="48">
        <f t="shared" si="2"/>
        <v>-0.18624642317647058</v>
      </c>
      <c r="K60" s="48">
        <f t="shared" si="2"/>
        <v>-3.0554616276470589E-2</v>
      </c>
      <c r="L60" s="48">
        <f t="shared" si="3"/>
        <v>1.829808584429066E-2</v>
      </c>
    </row>
    <row r="61" spans="1:12" x14ac:dyDescent="0.15">
      <c r="B61" s="37">
        <v>0</v>
      </c>
      <c r="C61" s="8">
        <v>0.1</v>
      </c>
      <c r="D61" s="38">
        <v>0.05</v>
      </c>
      <c r="E61" s="47">
        <v>1.863780379</v>
      </c>
      <c r="F61" s="48">
        <v>0.31662133339999998</v>
      </c>
      <c r="G61" s="48">
        <v>-5.1942843939999997E-2</v>
      </c>
      <c r="H61" s="48">
        <v>5.2881535139999998E-2</v>
      </c>
      <c r="I61" s="48">
        <f t="shared" si="2"/>
        <v>1.0963413994117648</v>
      </c>
      <c r="J61" s="48">
        <f t="shared" si="2"/>
        <v>0.18624784317647058</v>
      </c>
      <c r="K61" s="48">
        <f t="shared" si="2"/>
        <v>-3.0554614082352941E-2</v>
      </c>
      <c r="L61" s="48">
        <f t="shared" si="3"/>
        <v>1.8298109044982701E-2</v>
      </c>
    </row>
    <row r="62" spans="1:12" x14ac:dyDescent="0.15">
      <c r="B62" s="39">
        <v>0</v>
      </c>
      <c r="C62" s="40">
        <v>0.15</v>
      </c>
      <c r="D62" s="41">
        <v>0.05</v>
      </c>
      <c r="E62" s="47">
        <v>1.7522019150000001</v>
      </c>
      <c r="F62" s="48">
        <v>0.1350890696</v>
      </c>
      <c r="G62" s="48">
        <v>7.1137771010000003E-2</v>
      </c>
      <c r="H62" s="48">
        <v>3.1383261080000002E-2</v>
      </c>
      <c r="I62" s="48">
        <f t="shared" si="2"/>
        <v>1.0307070088235295</v>
      </c>
      <c r="J62" s="48">
        <f t="shared" si="2"/>
        <v>7.9464158588235301E-2</v>
      </c>
      <c r="K62" s="48">
        <f t="shared" si="2"/>
        <v>4.1845747652941183E-2</v>
      </c>
      <c r="L62" s="48">
        <f t="shared" si="3"/>
        <v>1.0859259889273358E-2</v>
      </c>
    </row>
    <row r="63" spans="1:12" x14ac:dyDescent="0.15">
      <c r="B63" s="42">
        <v>6.5000000000000002E-2</v>
      </c>
      <c r="C63" s="43">
        <v>-0.15</v>
      </c>
      <c r="D63" s="44">
        <v>0.05</v>
      </c>
      <c r="E63" s="45">
        <v>1.7836608890000001</v>
      </c>
      <c r="F63" s="46">
        <v>-2.6843266559999999E-2</v>
      </c>
      <c r="G63" s="46">
        <v>2.232253365E-2</v>
      </c>
      <c r="H63" s="46">
        <v>3.1710583719999998E-2</v>
      </c>
      <c r="I63" s="46">
        <f t="shared" si="2"/>
        <v>1.0492122876470589</v>
      </c>
      <c r="J63" s="46">
        <f t="shared" si="2"/>
        <v>-1.57901568E-2</v>
      </c>
      <c r="K63" s="46">
        <f t="shared" si="2"/>
        <v>1.3130902147058823E-2</v>
      </c>
      <c r="L63" s="46">
        <f t="shared" si="3"/>
        <v>1.0972520318339101E-2</v>
      </c>
    </row>
    <row r="64" spans="1:12" x14ac:dyDescent="0.15">
      <c r="B64" s="37">
        <v>6.5000000000000002E-2</v>
      </c>
      <c r="C64" s="8">
        <v>-0.1</v>
      </c>
      <c r="D64" s="38">
        <v>0.05</v>
      </c>
      <c r="E64" s="47">
        <v>1.7257795330000001</v>
      </c>
      <c r="F64" s="48">
        <v>-0.12445433440000001</v>
      </c>
      <c r="G64" s="48">
        <v>-0.10396652670000001</v>
      </c>
      <c r="H64" s="48">
        <v>9.0340346099999996E-2</v>
      </c>
      <c r="I64" s="48">
        <f t="shared" si="2"/>
        <v>1.0151644311764707</v>
      </c>
      <c r="J64" s="48">
        <f t="shared" si="2"/>
        <v>-7.3208432000000004E-2</v>
      </c>
      <c r="K64" s="48">
        <f t="shared" si="2"/>
        <v>-6.1156780411764713E-2</v>
      </c>
      <c r="L64" s="48">
        <f t="shared" si="3"/>
        <v>3.1259635328719726E-2</v>
      </c>
    </row>
    <row r="65" spans="2:12" x14ac:dyDescent="0.15">
      <c r="B65" s="37">
        <v>6.5000000000000002E-2</v>
      </c>
      <c r="C65" s="8">
        <v>-0.05</v>
      </c>
      <c r="D65" s="38">
        <v>0.05</v>
      </c>
      <c r="E65" s="47">
        <v>-0.1494273394</v>
      </c>
      <c r="F65" s="48">
        <v>-0.236837402</v>
      </c>
      <c r="G65" s="48">
        <v>0.26668578389999997</v>
      </c>
      <c r="H65" s="48">
        <v>7.561912388E-2</v>
      </c>
      <c r="I65" s="48">
        <f t="shared" si="2"/>
        <v>-8.7898434941176468E-2</v>
      </c>
      <c r="J65" s="48">
        <f t="shared" si="2"/>
        <v>-0.13931611882352943</v>
      </c>
      <c r="K65" s="48">
        <f t="shared" si="2"/>
        <v>0.15687399052941176</v>
      </c>
      <c r="L65" s="48">
        <f t="shared" si="3"/>
        <v>2.6165786809688583E-2</v>
      </c>
    </row>
    <row r="66" spans="2:12" x14ac:dyDescent="0.15">
      <c r="B66" s="37">
        <v>6.5000000000000002E-2</v>
      </c>
      <c r="C66" s="8">
        <v>0</v>
      </c>
      <c r="D66" s="38">
        <v>0.05</v>
      </c>
      <c r="E66" s="47">
        <v>-0.17993159589999999</v>
      </c>
      <c r="F66" s="48">
        <v>1.507413003E-6</v>
      </c>
      <c r="G66" s="48">
        <v>0.32325434679999998</v>
      </c>
      <c r="H66" s="48">
        <v>9.2553272840000006E-2</v>
      </c>
      <c r="I66" s="48">
        <f t="shared" si="2"/>
        <v>-0.10584211523529412</v>
      </c>
      <c r="J66" s="48">
        <f t="shared" si="2"/>
        <v>8.8671353117647061E-7</v>
      </c>
      <c r="K66" s="48">
        <f t="shared" si="2"/>
        <v>0.19014961576470588</v>
      </c>
      <c r="L66" s="48">
        <f t="shared" si="3"/>
        <v>3.2025353923875441E-2</v>
      </c>
    </row>
    <row r="67" spans="2:12" x14ac:dyDescent="0.15">
      <c r="B67" s="37">
        <v>6.5000000000000002E-2</v>
      </c>
      <c r="C67" s="8">
        <v>0.05</v>
      </c>
      <c r="D67" s="38">
        <v>0.05</v>
      </c>
      <c r="E67" s="47">
        <v>-0.14942781629999999</v>
      </c>
      <c r="F67" s="48">
        <v>0.23683981600000001</v>
      </c>
      <c r="G67" s="48">
        <v>0.26668587329999999</v>
      </c>
      <c r="H67" s="48">
        <v>7.561912388E-2</v>
      </c>
      <c r="I67" s="48">
        <f t="shared" si="2"/>
        <v>-8.7898715470588237E-2</v>
      </c>
      <c r="J67" s="48">
        <f t="shared" si="2"/>
        <v>0.13931753882352943</v>
      </c>
      <c r="K67" s="48">
        <f t="shared" si="2"/>
        <v>0.15687404311764705</v>
      </c>
      <c r="L67" s="48">
        <f t="shared" si="3"/>
        <v>2.6165786809688583E-2</v>
      </c>
    </row>
    <row r="68" spans="2:12" x14ac:dyDescent="0.15">
      <c r="B68" s="37">
        <v>6.5000000000000002E-2</v>
      </c>
      <c r="C68" s="8">
        <v>0.1</v>
      </c>
      <c r="D68" s="38">
        <v>0.05</v>
      </c>
      <c r="E68" s="47">
        <v>1.7257809639999999</v>
      </c>
      <c r="F68" s="48">
        <v>0.1244546399</v>
      </c>
      <c r="G68" s="48">
        <v>-0.103966102</v>
      </c>
      <c r="H68" s="48">
        <v>9.0339243410000006E-2</v>
      </c>
      <c r="I68" s="48">
        <f t="shared" si="2"/>
        <v>1.0151652729411764</v>
      </c>
      <c r="J68" s="48">
        <f t="shared" si="2"/>
        <v>7.3208611705882359E-2</v>
      </c>
      <c r="K68" s="48">
        <f t="shared" si="2"/>
        <v>-6.1156530588235301E-2</v>
      </c>
      <c r="L68" s="48">
        <f t="shared" si="3"/>
        <v>3.125925377508651E-2</v>
      </c>
    </row>
    <row r="69" spans="2:12" x14ac:dyDescent="0.15">
      <c r="B69" s="39">
        <v>6.5000000000000002E-2</v>
      </c>
      <c r="C69" s="40">
        <v>0.15</v>
      </c>
      <c r="D69" s="41">
        <v>0.05</v>
      </c>
      <c r="E69" s="47">
        <v>1.7836600540000001</v>
      </c>
      <c r="F69" s="48">
        <v>2.6846019549999999E-2</v>
      </c>
      <c r="G69" s="48">
        <v>2.2322280329999999E-2</v>
      </c>
      <c r="H69" s="48">
        <v>3.1710579990000001E-2</v>
      </c>
      <c r="I69" s="48">
        <f t="shared" si="2"/>
        <v>1.0492117964705883</v>
      </c>
      <c r="J69" s="48">
        <f t="shared" si="2"/>
        <v>1.5791776205882353E-2</v>
      </c>
      <c r="K69" s="48">
        <f t="shared" si="2"/>
        <v>1.3130753135294118E-2</v>
      </c>
      <c r="L69" s="48">
        <f t="shared" si="3"/>
        <v>1.0972519027681663E-2</v>
      </c>
    </row>
    <row r="70" spans="2:12" x14ac:dyDescent="0.15">
      <c r="B70" s="42">
        <v>0.1</v>
      </c>
      <c r="C70" s="43">
        <v>-0.15</v>
      </c>
      <c r="D70" s="44">
        <v>0.05</v>
      </c>
      <c r="E70" s="45">
        <v>1.7793834209999999</v>
      </c>
      <c r="F70" s="46">
        <v>2.0810570569999999E-2</v>
      </c>
      <c r="G70" s="46">
        <v>6.0683730990000002E-3</v>
      </c>
      <c r="H70" s="46">
        <v>3.1724732370000001E-2</v>
      </c>
      <c r="I70" s="46">
        <f t="shared" si="2"/>
        <v>1.0466961299999999</v>
      </c>
      <c r="J70" s="46">
        <f t="shared" si="2"/>
        <v>1.2241512099999999E-2</v>
      </c>
      <c r="K70" s="46">
        <f t="shared" si="2"/>
        <v>3.5696312347058825E-3</v>
      </c>
      <c r="L70" s="46">
        <f t="shared" si="3"/>
        <v>1.09774160449827E-2</v>
      </c>
    </row>
    <row r="71" spans="2:12" x14ac:dyDescent="0.15">
      <c r="B71" s="37">
        <v>0.1</v>
      </c>
      <c r="C71" s="8">
        <v>-0.1</v>
      </c>
      <c r="D71" s="38">
        <v>0.05</v>
      </c>
      <c r="E71" s="47">
        <v>1.589063525</v>
      </c>
      <c r="F71" s="48">
        <v>-3.9896048609999998E-2</v>
      </c>
      <c r="G71" s="48">
        <v>-8.8591262700000006E-2</v>
      </c>
      <c r="H71" s="48">
        <v>0.1214490682</v>
      </c>
      <c r="I71" s="48">
        <f t="shared" si="2"/>
        <v>0.93474325000000003</v>
      </c>
      <c r="J71" s="48">
        <f t="shared" si="2"/>
        <v>-2.3468263888235294E-2</v>
      </c>
      <c r="K71" s="48">
        <f t="shared" si="2"/>
        <v>-5.2112507470588237E-2</v>
      </c>
      <c r="L71" s="48">
        <f t="shared" si="3"/>
        <v>4.202389903114187E-2</v>
      </c>
    </row>
    <row r="72" spans="2:12" x14ac:dyDescent="0.15">
      <c r="B72" s="37">
        <v>0.1</v>
      </c>
      <c r="C72" s="8">
        <v>-0.05</v>
      </c>
      <c r="D72" s="38">
        <v>0.05</v>
      </c>
      <c r="E72" s="47">
        <v>-0.1422308236</v>
      </c>
      <c r="F72" s="48">
        <v>-7.6596543190000005E-2</v>
      </c>
      <c r="G72" s="48">
        <v>7.7451221639999998E-2</v>
      </c>
      <c r="H72" s="48">
        <v>9.4768628480000006E-2</v>
      </c>
      <c r="I72" s="48">
        <f t="shared" si="2"/>
        <v>-8.3665190352941177E-2</v>
      </c>
      <c r="J72" s="48">
        <f t="shared" si="2"/>
        <v>-4.5056790111764708E-2</v>
      </c>
      <c r="K72" s="48">
        <f t="shared" si="2"/>
        <v>4.5559542141176468E-2</v>
      </c>
      <c r="L72" s="48">
        <f t="shared" si="3"/>
        <v>3.2791912968858139E-2</v>
      </c>
    </row>
    <row r="73" spans="2:12" x14ac:dyDescent="0.15">
      <c r="B73" s="37">
        <v>0.1</v>
      </c>
      <c r="C73" s="8">
        <v>0</v>
      </c>
      <c r="D73" s="38">
        <v>0.05</v>
      </c>
      <c r="E73" s="47">
        <v>-0.38983377809999997</v>
      </c>
      <c r="F73" s="48">
        <v>8.8013712230000005E-7</v>
      </c>
      <c r="G73" s="48">
        <v>7.4399940669999998E-2</v>
      </c>
      <c r="H73" s="48">
        <v>0.1047296301</v>
      </c>
      <c r="I73" s="48">
        <f t="shared" si="2"/>
        <v>-0.22931398711764706</v>
      </c>
      <c r="J73" s="48">
        <f t="shared" si="2"/>
        <v>5.17727719E-7</v>
      </c>
      <c r="K73" s="48">
        <f t="shared" si="2"/>
        <v>4.3764670982352941E-2</v>
      </c>
      <c r="L73" s="48">
        <f t="shared" si="3"/>
        <v>3.6238626332179932E-2</v>
      </c>
    </row>
    <row r="74" spans="2:12" x14ac:dyDescent="0.15">
      <c r="B74" s="37">
        <v>0.1</v>
      </c>
      <c r="C74" s="8">
        <v>0.05</v>
      </c>
      <c r="D74" s="38">
        <v>0.05</v>
      </c>
      <c r="E74" s="47">
        <v>-0.1422294378</v>
      </c>
      <c r="F74" s="48">
        <v>7.6598323879999999E-2</v>
      </c>
      <c r="G74" s="48">
        <v>7.7450998130000004E-2</v>
      </c>
      <c r="H74" s="48">
        <v>9.4768583769999998E-2</v>
      </c>
      <c r="I74" s="48">
        <f t="shared" si="2"/>
        <v>-8.3664375176470587E-2</v>
      </c>
      <c r="J74" s="48">
        <f t="shared" si="2"/>
        <v>4.505783757647059E-2</v>
      </c>
      <c r="K74" s="48">
        <f t="shared" si="2"/>
        <v>4.5559410664705889E-2</v>
      </c>
      <c r="L74" s="48">
        <f t="shared" si="3"/>
        <v>3.2791897498269898E-2</v>
      </c>
    </row>
    <row r="75" spans="2:12" x14ac:dyDescent="0.15">
      <c r="B75" s="37">
        <v>0.1</v>
      </c>
      <c r="C75" s="8">
        <v>0.1</v>
      </c>
      <c r="D75" s="38">
        <v>0.05</v>
      </c>
      <c r="E75" s="47">
        <v>1.589062333</v>
      </c>
      <c r="F75" s="48">
        <v>3.9899531750000002E-2</v>
      </c>
      <c r="G75" s="48">
        <v>-8.8591627780000001E-2</v>
      </c>
      <c r="H75" s="48">
        <v>0.1214486137</v>
      </c>
      <c r="I75" s="48">
        <f t="shared" si="2"/>
        <v>0.93474254882352947</v>
      </c>
      <c r="J75" s="48">
        <f t="shared" si="2"/>
        <v>2.347031279411765E-2</v>
      </c>
      <c r="K75" s="48">
        <f t="shared" si="2"/>
        <v>-5.211272222352941E-2</v>
      </c>
      <c r="L75" s="48">
        <f t="shared" si="3"/>
        <v>4.2023741764705885E-2</v>
      </c>
    </row>
    <row r="76" spans="2:12" x14ac:dyDescent="0.15">
      <c r="B76" s="39">
        <v>0.1</v>
      </c>
      <c r="C76" s="40">
        <v>0.15</v>
      </c>
      <c r="D76" s="41">
        <v>0.05</v>
      </c>
      <c r="E76" s="56">
        <v>1.779383183</v>
      </c>
      <c r="F76" s="57">
        <v>-2.08072532E-2</v>
      </c>
      <c r="G76" s="57">
        <v>6.0679558659999999E-3</v>
      </c>
      <c r="H76" s="57">
        <v>3.1724736089999997E-2</v>
      </c>
      <c r="I76" s="57">
        <f t="shared" si="2"/>
        <v>1.0466959899999999</v>
      </c>
      <c r="J76" s="57">
        <f t="shared" si="2"/>
        <v>-1.2239560705882354E-2</v>
      </c>
      <c r="K76" s="57">
        <f t="shared" si="2"/>
        <v>3.5693858035294119E-3</v>
      </c>
      <c r="L76" s="57">
        <f t="shared" si="3"/>
        <v>1.0977417332179931E-2</v>
      </c>
    </row>
    <row r="77" spans="2:12" x14ac:dyDescent="0.15">
      <c r="B77" s="42">
        <v>0.15</v>
      </c>
      <c r="C77" s="43">
        <v>-0.15</v>
      </c>
      <c r="D77" s="44">
        <v>0.05</v>
      </c>
      <c r="E77" s="45">
        <v>1.7532972099999999</v>
      </c>
      <c r="F77" s="46">
        <v>8.415363729E-2</v>
      </c>
      <c r="G77" s="46">
        <v>-6.9400845099999997E-3</v>
      </c>
      <c r="H77" s="46">
        <v>3.1477302309999997E-2</v>
      </c>
      <c r="I77" s="46">
        <f t="shared" si="2"/>
        <v>1.0313513000000001</v>
      </c>
      <c r="J77" s="46">
        <f t="shared" si="2"/>
        <v>4.9502139582352944E-2</v>
      </c>
      <c r="K77" s="46">
        <f t="shared" si="2"/>
        <v>-4.0824026529411766E-3</v>
      </c>
      <c r="L77" s="46">
        <f t="shared" si="3"/>
        <v>1.0891800107266435E-2</v>
      </c>
    </row>
    <row r="78" spans="2:12" x14ac:dyDescent="0.15">
      <c r="B78" s="37">
        <v>0.15</v>
      </c>
      <c r="C78" s="8">
        <v>-0.1</v>
      </c>
      <c r="D78" s="38">
        <v>0.05</v>
      </c>
      <c r="E78" s="47">
        <v>1.506398916</v>
      </c>
      <c r="F78" s="48">
        <v>9.5478497450000005E-2</v>
      </c>
      <c r="G78" s="48">
        <v>-7.587818801E-2</v>
      </c>
      <c r="H78" s="48">
        <v>0.1169273332</v>
      </c>
      <c r="I78" s="48">
        <f t="shared" si="2"/>
        <v>0.88611700941176474</v>
      </c>
      <c r="J78" s="48">
        <f t="shared" si="2"/>
        <v>5.6163822029411767E-2</v>
      </c>
      <c r="K78" s="48">
        <f t="shared" si="2"/>
        <v>-4.4634228241176473E-2</v>
      </c>
      <c r="L78" s="48">
        <f t="shared" si="3"/>
        <v>4.0459284844290663E-2</v>
      </c>
    </row>
    <row r="79" spans="2:12" x14ac:dyDescent="0.15">
      <c r="B79" s="37">
        <v>0.15</v>
      </c>
      <c r="C79" s="8">
        <v>-0.05</v>
      </c>
      <c r="D79" s="38">
        <v>0.05</v>
      </c>
      <c r="E79" s="47">
        <v>-0.10184609140000001</v>
      </c>
      <c r="F79" s="48">
        <v>4.3499246239999997E-2</v>
      </c>
      <c r="G79" s="48">
        <v>-4.9843125049999999E-2</v>
      </c>
      <c r="H79" s="48">
        <v>0.1471026242</v>
      </c>
      <c r="I79" s="48">
        <f t="shared" si="2"/>
        <v>-5.9909465529411766E-2</v>
      </c>
      <c r="J79" s="48">
        <f t="shared" si="2"/>
        <v>2.558779190588235E-2</v>
      </c>
      <c r="K79" s="48">
        <f t="shared" si="2"/>
        <v>-2.9319485323529411E-2</v>
      </c>
      <c r="L79" s="48">
        <f t="shared" si="3"/>
        <v>5.0900562006920419E-2</v>
      </c>
    </row>
    <row r="80" spans="2:12" x14ac:dyDescent="0.15">
      <c r="B80" s="37">
        <v>0.15</v>
      </c>
      <c r="C80" s="8">
        <v>0</v>
      </c>
      <c r="D80" s="38">
        <v>0.05</v>
      </c>
      <c r="E80" s="47">
        <v>-0.4376316965</v>
      </c>
      <c r="F80" s="48">
        <v>4.0094880659999998E-7</v>
      </c>
      <c r="G80" s="48">
        <v>-5.4473131899999999E-2</v>
      </c>
      <c r="H80" s="48">
        <v>0.1416669935</v>
      </c>
      <c r="I80" s="48">
        <f t="shared" si="2"/>
        <v>-0.25743040970588238</v>
      </c>
      <c r="J80" s="48">
        <f t="shared" si="2"/>
        <v>2.3585223917647059E-7</v>
      </c>
      <c r="K80" s="48">
        <f t="shared" si="2"/>
        <v>-3.2043018764705881E-2</v>
      </c>
      <c r="L80" s="48">
        <f t="shared" si="3"/>
        <v>4.9019720934256064E-2</v>
      </c>
    </row>
    <row r="81" spans="2:12" x14ac:dyDescent="0.15">
      <c r="B81" s="37">
        <v>0.15</v>
      </c>
      <c r="C81" s="8">
        <v>0.05</v>
      </c>
      <c r="D81" s="38">
        <v>0.05</v>
      </c>
      <c r="E81" s="47">
        <v>-0.10184502600000001</v>
      </c>
      <c r="F81" s="48">
        <v>-4.3497506530000001E-2</v>
      </c>
      <c r="G81" s="48">
        <v>-4.9845345319999998E-2</v>
      </c>
      <c r="H81" s="48">
        <v>0.14710246029999999</v>
      </c>
      <c r="I81" s="48">
        <f t="shared" si="2"/>
        <v>-5.9908838823529417E-2</v>
      </c>
      <c r="J81" s="48">
        <f t="shared" si="2"/>
        <v>-2.5586768547058825E-2</v>
      </c>
      <c r="K81" s="48">
        <f t="shared" si="2"/>
        <v>-2.9320791364705882E-2</v>
      </c>
      <c r="L81" s="48">
        <f t="shared" si="3"/>
        <v>5.0900505294117646E-2</v>
      </c>
    </row>
    <row r="82" spans="2:12" x14ac:dyDescent="0.15">
      <c r="B82" s="37">
        <v>0.15</v>
      </c>
      <c r="C82" s="8">
        <v>0.1</v>
      </c>
      <c r="D82" s="38">
        <v>0.05</v>
      </c>
      <c r="E82" s="47">
        <v>1.5063942669999999</v>
      </c>
      <c r="F82" s="48">
        <v>-9.5474660399999994E-2</v>
      </c>
      <c r="G82" s="48">
        <v>-7.5877271590000003E-2</v>
      </c>
      <c r="H82" s="48">
        <v>0.1169280112</v>
      </c>
      <c r="I82" s="48">
        <f t="shared" si="2"/>
        <v>0.88611427470588233</v>
      </c>
      <c r="J82" s="48">
        <f t="shared" si="2"/>
        <v>-5.6161564941176467E-2</v>
      </c>
      <c r="K82" s="48">
        <f t="shared" si="2"/>
        <v>-4.4633689170588235E-2</v>
      </c>
      <c r="L82" s="48">
        <f t="shared" si="3"/>
        <v>4.045951944636679E-2</v>
      </c>
    </row>
    <row r="83" spans="2:12" x14ac:dyDescent="0.15">
      <c r="B83" s="39">
        <v>0.15</v>
      </c>
      <c r="C83" s="40">
        <v>0.15</v>
      </c>
      <c r="D83" s="41">
        <v>0.05</v>
      </c>
      <c r="E83" s="47">
        <v>1.7532976870000001</v>
      </c>
      <c r="F83" s="48">
        <v>-8.4150224920000002E-2</v>
      </c>
      <c r="G83" s="48">
        <v>-6.9407303820000002E-3</v>
      </c>
      <c r="H83" s="48">
        <v>3.1477309760000002E-2</v>
      </c>
      <c r="I83" s="48">
        <f t="shared" si="2"/>
        <v>1.0313515805882354</v>
      </c>
      <c r="J83" s="48">
        <f t="shared" si="2"/>
        <v>-4.9500132305882356E-2</v>
      </c>
      <c r="K83" s="48">
        <f t="shared" si="2"/>
        <v>-4.0827825776470587E-3</v>
      </c>
      <c r="L83" s="48">
        <f t="shared" si="3"/>
        <v>1.089180268512111E-2</v>
      </c>
    </row>
    <row r="84" spans="2:12" x14ac:dyDescent="0.15">
      <c r="B84" s="42">
        <v>0.2</v>
      </c>
      <c r="C84" s="43">
        <v>-0.15</v>
      </c>
      <c r="D84" s="44">
        <v>0.05</v>
      </c>
      <c r="E84" s="45">
        <v>1.7069807050000001</v>
      </c>
      <c r="F84" s="46">
        <v>0.12503620979999999</v>
      </c>
      <c r="G84" s="46">
        <v>-1.3103107920000001E-2</v>
      </c>
      <c r="H84" s="46">
        <v>3.1128827479999999E-2</v>
      </c>
      <c r="I84" s="46">
        <f>E84/$C$1</f>
        <v>1.0041062970588237</v>
      </c>
      <c r="J84" s="46">
        <f>F84/$C$1</f>
        <v>7.3550711647058814E-2</v>
      </c>
      <c r="K84" s="46">
        <f>G84/$C$1</f>
        <v>-7.7077105411764713E-3</v>
      </c>
      <c r="L84" s="46">
        <f t="shared" si="3"/>
        <v>1.077122058131488E-2</v>
      </c>
    </row>
    <row r="85" spans="2:12" x14ac:dyDescent="0.15">
      <c r="B85" s="37">
        <v>0.2</v>
      </c>
      <c r="C85" s="8">
        <v>-0.1</v>
      </c>
      <c r="D85" s="38">
        <v>0.05</v>
      </c>
      <c r="E85" s="47">
        <v>1.4894701239999999</v>
      </c>
      <c r="F85" s="48">
        <v>0.1747950912</v>
      </c>
      <c r="G85" s="48">
        <v>-7.6660461720000003E-2</v>
      </c>
      <c r="H85" s="48">
        <v>9.6425063909999997E-2</v>
      </c>
      <c r="I85" s="48">
        <f t="shared" ref="I85:K97" si="4">E85/$C$1</f>
        <v>0.8761588964705882</v>
      </c>
      <c r="J85" s="48">
        <f t="shared" si="4"/>
        <v>0.10282064188235294</v>
      </c>
      <c r="K85" s="48">
        <f t="shared" si="4"/>
        <v>-4.5094389247058823E-2</v>
      </c>
      <c r="L85" s="48">
        <f t="shared" si="3"/>
        <v>3.3365074017301044E-2</v>
      </c>
    </row>
    <row r="86" spans="2:12" x14ac:dyDescent="0.15">
      <c r="B86" s="37">
        <v>0.2</v>
      </c>
      <c r="C86" s="8">
        <v>-0.05</v>
      </c>
      <c r="D86" s="38">
        <v>0.05</v>
      </c>
      <c r="E86" s="47">
        <v>7.9821817579999996E-2</v>
      </c>
      <c r="F86" s="48">
        <v>0.1140705124</v>
      </c>
      <c r="G86" s="48">
        <v>-9.0579353269999996E-2</v>
      </c>
      <c r="H86" s="48">
        <v>0.1765393317</v>
      </c>
      <c r="I86" s="48">
        <f t="shared" si="4"/>
        <v>4.6954010341176466E-2</v>
      </c>
      <c r="J86" s="48">
        <f t="shared" si="4"/>
        <v>6.7100301411764707E-2</v>
      </c>
      <c r="K86" s="48">
        <f t="shared" si="4"/>
        <v>-5.3281972511764704E-2</v>
      </c>
      <c r="L86" s="48">
        <f t="shared" si="3"/>
        <v>6.1086273944636685E-2</v>
      </c>
    </row>
    <row r="87" spans="2:12" x14ac:dyDescent="0.15">
      <c r="B87" s="37">
        <v>0.2</v>
      </c>
      <c r="C87" s="8">
        <v>0</v>
      </c>
      <c r="D87" s="38">
        <v>0.05</v>
      </c>
      <c r="E87" s="47">
        <v>-0.27769368890000001</v>
      </c>
      <c r="F87" s="48">
        <v>2.9350280780000001E-7</v>
      </c>
      <c r="G87" s="48">
        <v>-0.1029493734</v>
      </c>
      <c r="H87" s="48">
        <v>0.16771940890000001</v>
      </c>
      <c r="I87" s="48">
        <f t="shared" si="4"/>
        <v>-0.16334922876470589</v>
      </c>
      <c r="J87" s="48">
        <f t="shared" si="4"/>
        <v>1.7264871047058825E-7</v>
      </c>
      <c r="K87" s="48">
        <f t="shared" si="4"/>
        <v>-6.0558454941176475E-2</v>
      </c>
      <c r="L87" s="48">
        <f t="shared" si="3"/>
        <v>5.8034397543252604E-2</v>
      </c>
    </row>
    <row r="88" spans="2:12" x14ac:dyDescent="0.15">
      <c r="B88" s="37">
        <v>0.2</v>
      </c>
      <c r="C88" s="8">
        <v>0.05</v>
      </c>
      <c r="D88" s="38">
        <v>0.05</v>
      </c>
      <c r="E88" s="47">
        <v>7.9823955890000006E-2</v>
      </c>
      <c r="F88" s="48">
        <v>-0.1140694022</v>
      </c>
      <c r="G88" s="48">
        <v>-9.0581655499999997E-2</v>
      </c>
      <c r="H88" s="48">
        <v>0.1765393019</v>
      </c>
      <c r="I88" s="48">
        <f t="shared" si="4"/>
        <v>4.6955268170588239E-2</v>
      </c>
      <c r="J88" s="48">
        <f t="shared" si="4"/>
        <v>-6.7099648352941174E-2</v>
      </c>
      <c r="K88" s="48">
        <f t="shared" si="4"/>
        <v>-5.3283326764705881E-2</v>
      </c>
      <c r="L88" s="48">
        <f t="shared" si="3"/>
        <v>6.1086263633218001E-2</v>
      </c>
    </row>
    <row r="89" spans="2:12" x14ac:dyDescent="0.15">
      <c r="B89" s="37">
        <v>0.2</v>
      </c>
      <c r="C89" s="8">
        <v>0.1</v>
      </c>
      <c r="D89" s="38">
        <v>0.05</v>
      </c>
      <c r="E89" s="47">
        <v>1.4894660710000001</v>
      </c>
      <c r="F89" s="48">
        <v>-0.17479270699999999</v>
      </c>
      <c r="G89" s="48">
        <v>-7.6660752299999996E-2</v>
      </c>
      <c r="H89" s="48">
        <v>9.6425890919999993E-2</v>
      </c>
      <c r="I89" s="48">
        <f t="shared" si="4"/>
        <v>0.87615651235294123</v>
      </c>
      <c r="J89" s="48">
        <f t="shared" si="4"/>
        <v>-0.1028192394117647</v>
      </c>
      <c r="K89" s="48">
        <f t="shared" si="4"/>
        <v>-4.5094560176470587E-2</v>
      </c>
      <c r="L89" s="48">
        <f t="shared" si="3"/>
        <v>3.3365360179930796E-2</v>
      </c>
    </row>
    <row r="90" spans="2:12" x14ac:dyDescent="0.15">
      <c r="B90" s="39">
        <v>0.2</v>
      </c>
      <c r="C90" s="40">
        <v>0.15</v>
      </c>
      <c r="D90" s="41">
        <v>0.05</v>
      </c>
      <c r="E90" s="47">
        <v>1.7069807050000001</v>
      </c>
      <c r="F90" s="48">
        <v>-0.12503297629999999</v>
      </c>
      <c r="G90" s="48">
        <v>-1.310401969E-2</v>
      </c>
      <c r="H90" s="48">
        <v>3.112883307E-2</v>
      </c>
      <c r="I90" s="48">
        <f t="shared" si="4"/>
        <v>1.0041062970588237</v>
      </c>
      <c r="J90" s="48">
        <f t="shared" si="4"/>
        <v>-7.3548809588235287E-2</v>
      </c>
      <c r="K90" s="48">
        <f t="shared" si="4"/>
        <v>-7.7082468764705881E-3</v>
      </c>
      <c r="L90" s="48">
        <f t="shared" si="3"/>
        <v>1.0771222515570935E-2</v>
      </c>
    </row>
    <row r="91" spans="2:12" x14ac:dyDescent="0.15">
      <c r="B91" s="42">
        <v>0.25</v>
      </c>
      <c r="C91" s="43">
        <v>-0.15</v>
      </c>
      <c r="D91" s="44">
        <v>0.05</v>
      </c>
      <c r="E91" s="45">
        <v>1.6591855289999999</v>
      </c>
      <c r="F91" s="46">
        <v>0.1347758621</v>
      </c>
      <c r="G91" s="46">
        <v>-1.5238545839999999E-2</v>
      </c>
      <c r="H91" s="46">
        <v>3.0942348759999998E-2</v>
      </c>
      <c r="I91" s="46">
        <f t="shared" si="4"/>
        <v>0.97599148764705879</v>
      </c>
      <c r="J91" s="46">
        <f t="shared" si="4"/>
        <v>7.9279918882352945E-2</v>
      </c>
      <c r="K91" s="46">
        <f t="shared" si="4"/>
        <v>-8.9638504941176467E-3</v>
      </c>
      <c r="L91" s="46">
        <f t="shared" si="3"/>
        <v>1.0706695072664361E-2</v>
      </c>
    </row>
    <row r="92" spans="2:12" x14ac:dyDescent="0.15">
      <c r="B92" s="37">
        <v>0.25</v>
      </c>
      <c r="C92" s="8">
        <v>-0.1</v>
      </c>
      <c r="D92" s="38">
        <v>0.05</v>
      </c>
      <c r="E92" s="47">
        <v>1.488786817</v>
      </c>
      <c r="F92" s="48">
        <v>0.18095082039999999</v>
      </c>
      <c r="G92" s="48">
        <v>-6.9926619529999998E-2</v>
      </c>
      <c r="H92" s="48">
        <v>7.6508156960000004E-2</v>
      </c>
      <c r="I92" s="48">
        <f t="shared" si="4"/>
        <v>0.87575695117647068</v>
      </c>
      <c r="J92" s="48">
        <f t="shared" si="4"/>
        <v>0.10644165905882352</v>
      </c>
      <c r="K92" s="48">
        <f t="shared" si="4"/>
        <v>-4.1133305605882353E-2</v>
      </c>
      <c r="L92" s="48">
        <f t="shared" si="3"/>
        <v>2.6473410712802771E-2</v>
      </c>
    </row>
    <row r="93" spans="2:12" x14ac:dyDescent="0.15">
      <c r="B93" s="37">
        <v>0.25</v>
      </c>
      <c r="C93" s="8">
        <v>-0.05</v>
      </c>
      <c r="D93" s="38">
        <v>0.05</v>
      </c>
      <c r="E93" s="47">
        <v>0.32236173750000002</v>
      </c>
      <c r="F93" s="48">
        <v>0.12747247519999999</v>
      </c>
      <c r="G93" s="48">
        <v>-9.6664302049999998E-2</v>
      </c>
      <c r="H93" s="48">
        <v>0.17944522199999999</v>
      </c>
      <c r="I93" s="48">
        <f t="shared" si="4"/>
        <v>0.18962455147058827</v>
      </c>
      <c r="J93" s="48">
        <f t="shared" si="4"/>
        <v>7.4983808941176469E-2</v>
      </c>
      <c r="K93" s="48">
        <f t="shared" si="4"/>
        <v>-5.6861354147058826E-2</v>
      </c>
      <c r="L93" s="48">
        <f t="shared" si="3"/>
        <v>6.2091772318339102E-2</v>
      </c>
    </row>
    <row r="94" spans="2:12" x14ac:dyDescent="0.15">
      <c r="B94" s="37">
        <v>0.25</v>
      </c>
      <c r="C94" s="8">
        <v>0</v>
      </c>
      <c r="D94" s="38">
        <v>0.05</v>
      </c>
      <c r="E94" s="47">
        <v>-2.0811319349999999E-2</v>
      </c>
      <c r="F94" s="48">
        <v>-8.5150787750000004E-8</v>
      </c>
      <c r="G94" s="48">
        <v>-0.11479267479999999</v>
      </c>
      <c r="H94" s="48">
        <v>0.17428459230000001</v>
      </c>
      <c r="I94" s="48">
        <f t="shared" si="4"/>
        <v>-1.224195255882353E-2</v>
      </c>
      <c r="J94" s="48">
        <f t="shared" si="4"/>
        <v>-5.008869867647059E-8</v>
      </c>
      <c r="K94" s="48">
        <f t="shared" si="4"/>
        <v>-6.7525102823529415E-2</v>
      </c>
      <c r="L94" s="48">
        <f t="shared" si="3"/>
        <v>6.0306087301038071E-2</v>
      </c>
    </row>
    <row r="95" spans="2:12" x14ac:dyDescent="0.15">
      <c r="B95" s="37">
        <v>0.25</v>
      </c>
      <c r="C95" s="8">
        <v>0.05</v>
      </c>
      <c r="D95" s="38">
        <v>0.05</v>
      </c>
      <c r="E95" s="47">
        <v>0.32236421110000002</v>
      </c>
      <c r="F95" s="48">
        <v>-0.12747101490000001</v>
      </c>
      <c r="G95" s="48">
        <v>-9.6666239200000004E-2</v>
      </c>
      <c r="H95" s="48">
        <v>0.1794450581</v>
      </c>
      <c r="I95" s="48">
        <f t="shared" si="4"/>
        <v>0.18962600652941178</v>
      </c>
      <c r="J95" s="48">
        <f t="shared" si="4"/>
        <v>-7.4982949941176477E-2</v>
      </c>
      <c r="K95" s="48">
        <f t="shared" si="4"/>
        <v>-5.686249364705883E-2</v>
      </c>
      <c r="L95" s="48">
        <f t="shared" si="3"/>
        <v>6.2091715605536342E-2</v>
      </c>
    </row>
    <row r="96" spans="2:12" x14ac:dyDescent="0.15">
      <c r="B96" s="37">
        <v>0.25</v>
      </c>
      <c r="C96" s="8">
        <v>0.1</v>
      </c>
      <c r="D96" s="38">
        <v>0.05</v>
      </c>
      <c r="E96" s="47">
        <v>1.4887850279999999</v>
      </c>
      <c r="F96" s="48">
        <v>-0.18094840649999999</v>
      </c>
      <c r="G96" s="48">
        <v>-6.9927789269999999E-2</v>
      </c>
      <c r="H96" s="48">
        <v>7.6508626339999997E-2</v>
      </c>
      <c r="I96" s="48">
        <f t="shared" si="4"/>
        <v>0.87575589882352933</v>
      </c>
      <c r="J96" s="48">
        <f t="shared" si="4"/>
        <v>-0.10644023911764705</v>
      </c>
      <c r="K96" s="48">
        <f t="shared" si="4"/>
        <v>-4.1133993688235296E-2</v>
      </c>
      <c r="L96" s="48">
        <f t="shared" si="3"/>
        <v>2.6473573128027682E-2</v>
      </c>
    </row>
    <row r="97" spans="1:12" x14ac:dyDescent="0.15">
      <c r="A97" s="8">
        <f>52+43</f>
        <v>95</v>
      </c>
      <c r="B97" s="39">
        <v>0.25</v>
      </c>
      <c r="C97" s="40">
        <v>0.15</v>
      </c>
      <c r="D97" s="41">
        <v>0.05</v>
      </c>
      <c r="E97" s="47">
        <v>1.6591845750000001</v>
      </c>
      <c r="F97" s="48">
        <v>-0.1347735226</v>
      </c>
      <c r="G97" s="48">
        <v>-1.5239550730000001E-2</v>
      </c>
      <c r="H97" s="48">
        <v>3.0942339449999998E-2</v>
      </c>
      <c r="I97" s="48">
        <f t="shared" si="4"/>
        <v>0.97599092647058827</v>
      </c>
      <c r="J97" s="48">
        <f t="shared" si="4"/>
        <v>-7.927854270588236E-2</v>
      </c>
      <c r="K97" s="48">
        <f t="shared" si="4"/>
        <v>-8.964441605882353E-3</v>
      </c>
      <c r="L97" s="48">
        <f t="shared" si="3"/>
        <v>1.0706691851211073E-2</v>
      </c>
    </row>
    <row r="98" spans="1:12" x14ac:dyDescent="0.15">
      <c r="E98" s="43"/>
      <c r="F98" s="43"/>
      <c r="G98" s="43"/>
      <c r="H98" s="43"/>
      <c r="I98" s="43"/>
      <c r="J98" s="43"/>
      <c r="K98" s="43"/>
      <c r="L98" s="46"/>
    </row>
    <row r="99" spans="1:12" x14ac:dyDescent="0.15">
      <c r="E99" s="58"/>
      <c r="F99" s="58"/>
      <c r="G99" s="58"/>
      <c r="H99" s="58"/>
      <c r="I99" s="58"/>
      <c r="J99" s="58"/>
      <c r="K99" s="58"/>
      <c r="L99" s="58"/>
    </row>
    <row r="100" spans="1:12" x14ac:dyDescent="0.15">
      <c r="E100" s="58"/>
      <c r="F100" s="58"/>
      <c r="G100" s="58"/>
      <c r="H100" s="58"/>
      <c r="I100" s="58"/>
      <c r="J100" s="58"/>
      <c r="K100" s="58"/>
      <c r="L100" s="58"/>
    </row>
  </sheetData>
  <phoneticPr fontId="2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2"/>
  <sheetViews>
    <sheetView tabSelected="1" workbookViewId="0">
      <selection activeCell="F2" sqref="F2"/>
    </sheetView>
  </sheetViews>
  <sheetFormatPr defaultRowHeight="13.5" x14ac:dyDescent="0.15"/>
  <cols>
    <col min="2" max="7" width="9" style="4"/>
  </cols>
  <sheetData>
    <row r="1" spans="1:7" s="6" customFormat="1" ht="15" thickBot="1" x14ac:dyDescent="0.2">
      <c r="B1" s="5" t="s">
        <v>24</v>
      </c>
      <c r="C1" s="5"/>
      <c r="D1" s="5"/>
      <c r="E1" s="9" t="s">
        <v>25</v>
      </c>
      <c r="F1" s="10">
        <f>400*1.667*0.00000001*1000000*0.1/(0.1^2*1.7)</f>
        <v>39.223529411764716</v>
      </c>
      <c r="G1" s="7" t="s">
        <v>19</v>
      </c>
    </row>
    <row r="2" spans="1:7" x14ac:dyDescent="0.15">
      <c r="A2" s="20" t="s">
        <v>28</v>
      </c>
      <c r="B2" s="21" t="s">
        <v>21</v>
      </c>
      <c r="C2" s="21" t="s">
        <v>22</v>
      </c>
      <c r="D2" s="21" t="s">
        <v>26</v>
      </c>
      <c r="E2" s="21" t="s">
        <v>37</v>
      </c>
      <c r="F2" s="22" t="s">
        <v>20</v>
      </c>
    </row>
    <row r="3" spans="1:7" ht="14.25" x14ac:dyDescent="0.2">
      <c r="B3" s="18">
        <v>6.5000000000000002E-2</v>
      </c>
      <c r="C3" s="18">
        <v>0</v>
      </c>
      <c r="D3" s="18">
        <v>0</v>
      </c>
      <c r="E3" s="16">
        <v>26.9</v>
      </c>
      <c r="F3" s="19">
        <f>E3/$F$1</f>
        <v>0.68581283743251331</v>
      </c>
    </row>
    <row r="4" spans="1:7" ht="14.25" x14ac:dyDescent="0.2">
      <c r="B4" s="14">
        <v>6.5000000000000002E-2</v>
      </c>
      <c r="C4" s="14">
        <v>0</v>
      </c>
      <c r="D4" s="14">
        <v>0.01</v>
      </c>
      <c r="E4" s="16">
        <v>27.1</v>
      </c>
      <c r="F4" s="19">
        <f t="shared" ref="F4:F67" si="0">E4/$F$1</f>
        <v>0.69091181763647258</v>
      </c>
    </row>
    <row r="5" spans="1:7" ht="14.25" x14ac:dyDescent="0.2">
      <c r="B5" s="14">
        <v>6.5000000000000002E-2</v>
      </c>
      <c r="C5" s="14">
        <v>0</v>
      </c>
      <c r="D5" s="14">
        <v>0.02</v>
      </c>
      <c r="E5" s="16">
        <v>28.3</v>
      </c>
      <c r="F5" s="19">
        <f t="shared" si="0"/>
        <v>0.72150569886022775</v>
      </c>
    </row>
    <row r="6" spans="1:7" ht="14.25" x14ac:dyDescent="0.2">
      <c r="B6" s="14">
        <v>6.5000000000000002E-2</v>
      </c>
      <c r="C6" s="14">
        <v>0</v>
      </c>
      <c r="D6" s="14">
        <v>0.03</v>
      </c>
      <c r="E6" s="16">
        <v>30.9</v>
      </c>
      <c r="F6" s="19">
        <f t="shared" si="0"/>
        <v>0.78779244151169747</v>
      </c>
    </row>
    <row r="7" spans="1:7" ht="14.25" x14ac:dyDescent="0.2">
      <c r="B7" s="14">
        <v>6.5000000000000002E-2</v>
      </c>
      <c r="C7" s="14">
        <v>0</v>
      </c>
      <c r="D7" s="14">
        <v>0.04</v>
      </c>
      <c r="E7" s="16">
        <v>34</v>
      </c>
      <c r="F7" s="19">
        <f t="shared" si="0"/>
        <v>0.8668266346730652</v>
      </c>
    </row>
    <row r="8" spans="1:7" ht="14.25" x14ac:dyDescent="0.2">
      <c r="B8" s="14">
        <v>6.5000000000000002E-2</v>
      </c>
      <c r="C8" s="14">
        <v>0</v>
      </c>
      <c r="D8" s="14">
        <v>0.05</v>
      </c>
      <c r="E8" s="16">
        <v>38.1</v>
      </c>
      <c r="F8" s="19">
        <f t="shared" si="0"/>
        <v>0.97135572885422894</v>
      </c>
    </row>
    <row r="9" spans="1:7" ht="14.25" x14ac:dyDescent="0.2">
      <c r="B9" s="14">
        <v>6.5000000000000002E-2</v>
      </c>
      <c r="C9" s="14">
        <v>0</v>
      </c>
      <c r="D9" s="14">
        <v>0.06</v>
      </c>
      <c r="E9" s="16">
        <v>42</v>
      </c>
      <c r="F9" s="19">
        <f t="shared" si="0"/>
        <v>1.0707858428314334</v>
      </c>
    </row>
    <row r="10" spans="1:7" ht="14.25" x14ac:dyDescent="0.2">
      <c r="B10" s="14">
        <v>6.5000000000000002E-2</v>
      </c>
      <c r="C10" s="14">
        <v>0</v>
      </c>
      <c r="D10" s="14">
        <v>7.0000000000000007E-2</v>
      </c>
      <c r="E10" s="16">
        <v>47.5</v>
      </c>
      <c r="F10" s="19">
        <f t="shared" si="0"/>
        <v>1.2110077984403116</v>
      </c>
    </row>
    <row r="11" spans="1:7" ht="14.25" x14ac:dyDescent="0.2">
      <c r="B11" s="14">
        <v>6.5000000000000002E-2</v>
      </c>
      <c r="C11" s="14">
        <v>0</v>
      </c>
      <c r="D11" s="14">
        <v>0.08</v>
      </c>
      <c r="E11" s="16">
        <v>50.5</v>
      </c>
      <c r="F11" s="19">
        <f t="shared" si="0"/>
        <v>1.2874925014996996</v>
      </c>
    </row>
    <row r="12" spans="1:7" ht="14.25" x14ac:dyDescent="0.2">
      <c r="B12" s="14">
        <v>6.5000000000000002E-2</v>
      </c>
      <c r="C12" s="14">
        <v>0</v>
      </c>
      <c r="D12" s="14">
        <v>0.09</v>
      </c>
      <c r="E12" s="16">
        <v>67.3</v>
      </c>
      <c r="F12" s="19">
        <f t="shared" si="0"/>
        <v>1.7158068386322731</v>
      </c>
    </row>
    <row r="13" spans="1:7" ht="14.25" x14ac:dyDescent="0.2">
      <c r="B13" s="14">
        <v>6.5000000000000002E-2</v>
      </c>
      <c r="C13" s="14">
        <v>0</v>
      </c>
      <c r="D13" s="14">
        <v>0.1</v>
      </c>
      <c r="E13" s="16">
        <v>143.69999999999999</v>
      </c>
      <c r="F13" s="19">
        <f t="shared" si="0"/>
        <v>3.6636172765446897</v>
      </c>
    </row>
    <row r="14" spans="1:7" ht="14.25" x14ac:dyDescent="0.2">
      <c r="B14" s="14">
        <v>6.5000000000000002E-2</v>
      </c>
      <c r="C14" s="14">
        <v>0</v>
      </c>
      <c r="D14" s="14">
        <v>0.11</v>
      </c>
      <c r="E14" s="16">
        <v>239.7</v>
      </c>
      <c r="F14" s="19">
        <f t="shared" si="0"/>
        <v>6.1111277744451096</v>
      </c>
    </row>
    <row r="15" spans="1:7" ht="14.25" x14ac:dyDescent="0.2">
      <c r="B15" s="14">
        <v>6.5000000000000002E-2</v>
      </c>
      <c r="C15" s="14">
        <v>0</v>
      </c>
      <c r="D15" s="14">
        <v>0.12</v>
      </c>
      <c r="E15" s="16">
        <v>255.3</v>
      </c>
      <c r="F15" s="19">
        <f t="shared" si="0"/>
        <v>6.5088482303539275</v>
      </c>
    </row>
    <row r="16" spans="1:7" ht="14.25" x14ac:dyDescent="0.2">
      <c r="B16" s="14">
        <v>6.5000000000000002E-2</v>
      </c>
      <c r="C16" s="14">
        <v>0</v>
      </c>
      <c r="D16" s="14">
        <v>0.13</v>
      </c>
      <c r="E16" s="16">
        <v>146.1</v>
      </c>
      <c r="F16" s="19">
        <f t="shared" si="0"/>
        <v>3.7248050389922005</v>
      </c>
    </row>
    <row r="17" spans="2:6" ht="14.25" x14ac:dyDescent="0.2">
      <c r="B17" s="14">
        <v>6.5000000000000002E-2</v>
      </c>
      <c r="C17" s="14">
        <v>0</v>
      </c>
      <c r="D17" s="14">
        <v>0.14000000000000001</v>
      </c>
      <c r="E17" s="16">
        <v>36</v>
      </c>
      <c r="F17" s="19">
        <f t="shared" si="0"/>
        <v>0.91781643671265722</v>
      </c>
    </row>
    <row r="18" spans="2:6" ht="14.25" x14ac:dyDescent="0.2">
      <c r="B18" s="14">
        <v>6.5000000000000002E-2</v>
      </c>
      <c r="C18" s="14">
        <v>0</v>
      </c>
      <c r="D18" s="14">
        <v>0.15</v>
      </c>
      <c r="E18" s="16">
        <v>5.4</v>
      </c>
      <c r="F18" s="19">
        <f t="shared" si="0"/>
        <v>0.1376724655068986</v>
      </c>
    </row>
    <row r="19" spans="2:6" ht="14.25" x14ac:dyDescent="0.2">
      <c r="B19" s="14">
        <v>6.5000000000000002E-2</v>
      </c>
      <c r="C19" s="14">
        <v>0</v>
      </c>
      <c r="D19" s="14">
        <v>0.16</v>
      </c>
      <c r="E19" s="16">
        <v>0.7</v>
      </c>
      <c r="F19" s="19">
        <f t="shared" si="0"/>
        <v>1.7846430713857223E-2</v>
      </c>
    </row>
    <row r="20" spans="2:6" ht="14.25" x14ac:dyDescent="0.2">
      <c r="B20" s="14">
        <v>6.5000000000000002E-2</v>
      </c>
      <c r="C20" s="14">
        <v>0</v>
      </c>
      <c r="D20" s="14">
        <v>0.17</v>
      </c>
      <c r="E20" s="16">
        <v>0.5</v>
      </c>
      <c r="F20" s="19">
        <f t="shared" si="0"/>
        <v>1.2747450509898017E-2</v>
      </c>
    </row>
    <row r="21" spans="2:6" ht="14.25" x14ac:dyDescent="0.2">
      <c r="B21" s="14">
        <v>6.5000000000000002E-2</v>
      </c>
      <c r="C21" s="14">
        <v>0</v>
      </c>
      <c r="D21" s="14">
        <v>0.18</v>
      </c>
      <c r="E21" s="16">
        <v>0.7</v>
      </c>
      <c r="F21" s="19">
        <f t="shared" si="0"/>
        <v>1.7846430713857223E-2</v>
      </c>
    </row>
    <row r="22" spans="2:6" ht="14.25" x14ac:dyDescent="0.2">
      <c r="B22" s="14">
        <v>6.5000000000000002E-2</v>
      </c>
      <c r="C22" s="14">
        <v>0</v>
      </c>
      <c r="D22" s="14">
        <v>0.19</v>
      </c>
      <c r="E22" s="16">
        <v>0.6</v>
      </c>
      <c r="F22" s="19">
        <f t="shared" si="0"/>
        <v>1.529694061187762E-2</v>
      </c>
    </row>
    <row r="23" spans="2:6" ht="14.25" x14ac:dyDescent="0.2">
      <c r="B23" s="14">
        <v>6.5000000000000002E-2</v>
      </c>
      <c r="C23" s="14">
        <v>0</v>
      </c>
      <c r="D23" s="14">
        <v>0.2</v>
      </c>
      <c r="E23" s="16">
        <v>0.5</v>
      </c>
      <c r="F23" s="19">
        <f t="shared" si="0"/>
        <v>1.2747450509898017E-2</v>
      </c>
    </row>
    <row r="24" spans="2:6" ht="14.25" x14ac:dyDescent="0.2">
      <c r="B24" s="14">
        <v>6.5000000000000002E-2</v>
      </c>
      <c r="C24" s="14">
        <v>0</v>
      </c>
      <c r="D24" s="14">
        <v>0.21</v>
      </c>
      <c r="E24" s="16">
        <v>0.4</v>
      </c>
      <c r="F24" s="19">
        <f t="shared" si="0"/>
        <v>1.0197960407918415E-2</v>
      </c>
    </row>
    <row r="25" spans="2:6" ht="14.25" x14ac:dyDescent="0.2">
      <c r="B25" s="14">
        <v>0.1</v>
      </c>
      <c r="C25" s="14">
        <v>0</v>
      </c>
      <c r="D25" s="18">
        <v>0</v>
      </c>
      <c r="E25" s="16">
        <v>27.7</v>
      </c>
      <c r="F25" s="19">
        <f t="shared" si="0"/>
        <v>0.70620875824835017</v>
      </c>
    </row>
    <row r="26" spans="2:6" ht="14.25" x14ac:dyDescent="0.2">
      <c r="B26" s="14">
        <v>0.1</v>
      </c>
      <c r="C26" s="14">
        <v>0</v>
      </c>
      <c r="D26" s="14">
        <v>0.01</v>
      </c>
      <c r="E26" s="16">
        <v>28</v>
      </c>
      <c r="F26" s="19">
        <f t="shared" si="0"/>
        <v>0.71385722855428901</v>
      </c>
    </row>
    <row r="27" spans="2:6" ht="14.25" x14ac:dyDescent="0.2">
      <c r="B27" s="14">
        <v>0.1</v>
      </c>
      <c r="C27" s="14">
        <v>0</v>
      </c>
      <c r="D27" s="14">
        <v>0.02</v>
      </c>
      <c r="E27" s="16">
        <v>30.8</v>
      </c>
      <c r="F27" s="19">
        <f t="shared" si="0"/>
        <v>0.78524295140971789</v>
      </c>
    </row>
    <row r="28" spans="2:6" ht="14.25" x14ac:dyDescent="0.2">
      <c r="B28" s="14">
        <v>0.1</v>
      </c>
      <c r="C28" s="14">
        <v>0</v>
      </c>
      <c r="D28" s="14">
        <v>0.03</v>
      </c>
      <c r="E28" s="16">
        <v>37.1</v>
      </c>
      <c r="F28" s="19">
        <f t="shared" si="0"/>
        <v>0.94586082783443293</v>
      </c>
    </row>
    <row r="29" spans="2:6" ht="14.25" x14ac:dyDescent="0.2">
      <c r="B29" s="14">
        <v>0.1</v>
      </c>
      <c r="C29" s="14">
        <v>0</v>
      </c>
      <c r="D29" s="14">
        <v>0.04</v>
      </c>
      <c r="E29" s="16">
        <v>44.3</v>
      </c>
      <c r="F29" s="19">
        <f t="shared" si="0"/>
        <v>1.1294241151769642</v>
      </c>
    </row>
    <row r="30" spans="2:6" ht="14.25" x14ac:dyDescent="0.2">
      <c r="B30" s="14">
        <v>0.1</v>
      </c>
      <c r="C30" s="14">
        <v>0</v>
      </c>
      <c r="D30" s="14">
        <v>0.05</v>
      </c>
      <c r="E30" s="16">
        <v>56.4</v>
      </c>
      <c r="F30" s="19">
        <f t="shared" si="0"/>
        <v>1.4379124175164963</v>
      </c>
    </row>
    <row r="31" spans="2:6" ht="14.25" x14ac:dyDescent="0.2">
      <c r="B31" s="14">
        <v>0.1</v>
      </c>
      <c r="C31" s="14">
        <v>0</v>
      </c>
      <c r="D31" s="14">
        <v>0.06</v>
      </c>
      <c r="E31" s="16">
        <v>65.2</v>
      </c>
      <c r="F31" s="19">
        <f t="shared" si="0"/>
        <v>1.6622675464907015</v>
      </c>
    </row>
    <row r="32" spans="2:6" ht="14.25" x14ac:dyDescent="0.2">
      <c r="B32" s="14">
        <v>0.1</v>
      </c>
      <c r="C32" s="14">
        <v>0</v>
      </c>
      <c r="D32" s="14">
        <v>7.0000000000000007E-2</v>
      </c>
      <c r="E32" s="16">
        <v>83</v>
      </c>
      <c r="F32" s="19">
        <f t="shared" si="0"/>
        <v>2.116076784643071</v>
      </c>
    </row>
    <row r="33" spans="2:6" ht="14.25" x14ac:dyDescent="0.2">
      <c r="B33" s="14">
        <v>0.1</v>
      </c>
      <c r="C33" s="14">
        <v>0</v>
      </c>
      <c r="D33" s="14">
        <v>0.08</v>
      </c>
      <c r="E33" s="16">
        <v>95.2</v>
      </c>
      <c r="F33" s="19">
        <f t="shared" si="0"/>
        <v>2.4271145770845823</v>
      </c>
    </row>
    <row r="34" spans="2:6" ht="14.25" x14ac:dyDescent="0.2">
      <c r="B34" s="14">
        <v>0.1</v>
      </c>
      <c r="C34" s="14">
        <v>0</v>
      </c>
      <c r="D34" s="14">
        <v>0.09</v>
      </c>
      <c r="E34" s="16">
        <v>123.8</v>
      </c>
      <c r="F34" s="19">
        <f t="shared" si="0"/>
        <v>3.156268746250749</v>
      </c>
    </row>
    <row r="35" spans="2:6" ht="14.25" x14ac:dyDescent="0.2">
      <c r="B35" s="14">
        <v>0.1</v>
      </c>
      <c r="C35" s="14">
        <v>0</v>
      </c>
      <c r="D35" s="14">
        <v>0.1</v>
      </c>
      <c r="E35" s="16">
        <v>145.4</v>
      </c>
      <c r="F35" s="19">
        <f t="shared" si="0"/>
        <v>3.7069586082783434</v>
      </c>
    </row>
    <row r="36" spans="2:6" ht="14.25" x14ac:dyDescent="0.2">
      <c r="B36" s="14">
        <v>0.1</v>
      </c>
      <c r="C36" s="14">
        <v>0</v>
      </c>
      <c r="D36" s="14">
        <v>0.11</v>
      </c>
      <c r="E36" s="16">
        <v>183.5</v>
      </c>
      <c r="F36" s="19">
        <f t="shared" si="0"/>
        <v>4.6783143371325719</v>
      </c>
    </row>
    <row r="37" spans="2:6" ht="14.25" x14ac:dyDescent="0.2">
      <c r="B37" s="14">
        <v>0.1</v>
      </c>
      <c r="C37" s="14">
        <v>0</v>
      </c>
      <c r="D37" s="14">
        <v>0.12</v>
      </c>
      <c r="E37" s="16">
        <v>167.3</v>
      </c>
      <c r="F37" s="19">
        <f t="shared" si="0"/>
        <v>4.2652969406118766</v>
      </c>
    </row>
    <row r="38" spans="2:6" ht="14.25" x14ac:dyDescent="0.2">
      <c r="B38" s="14">
        <v>0.1</v>
      </c>
      <c r="C38" s="14">
        <v>0</v>
      </c>
      <c r="D38" s="14">
        <v>0.13</v>
      </c>
      <c r="E38" s="16">
        <v>117.6</v>
      </c>
      <c r="F38" s="19">
        <f t="shared" si="0"/>
        <v>2.9982003599280134</v>
      </c>
    </row>
    <row r="39" spans="2:6" ht="14.25" x14ac:dyDescent="0.2">
      <c r="B39" s="14">
        <v>0.1</v>
      </c>
      <c r="C39" s="14">
        <v>0</v>
      </c>
      <c r="D39" s="14">
        <v>0.14000000000000001</v>
      </c>
      <c r="E39" s="16">
        <v>42</v>
      </c>
      <c r="F39" s="19">
        <f t="shared" si="0"/>
        <v>1.0707858428314334</v>
      </c>
    </row>
    <row r="40" spans="2:6" ht="14.25" x14ac:dyDescent="0.2">
      <c r="B40" s="14">
        <v>0.1</v>
      </c>
      <c r="C40" s="14">
        <v>0</v>
      </c>
      <c r="D40" s="14">
        <v>0.15</v>
      </c>
      <c r="E40" s="16">
        <v>10.7</v>
      </c>
      <c r="F40" s="19">
        <f t="shared" si="0"/>
        <v>0.27279544091181757</v>
      </c>
    </row>
    <row r="41" spans="2:6" ht="14.25" x14ac:dyDescent="0.2">
      <c r="B41" s="14">
        <v>0.1</v>
      </c>
      <c r="C41" s="14">
        <v>0</v>
      </c>
      <c r="D41" s="14">
        <v>0.16</v>
      </c>
      <c r="E41" s="16">
        <v>1.7</v>
      </c>
      <c r="F41" s="19">
        <f t="shared" si="0"/>
        <v>4.334133173365326E-2</v>
      </c>
    </row>
    <row r="42" spans="2:6" ht="14.25" x14ac:dyDescent="0.2">
      <c r="B42" s="14">
        <v>0.1</v>
      </c>
      <c r="C42" s="14">
        <v>0</v>
      </c>
      <c r="D42" s="14">
        <v>0.17</v>
      </c>
      <c r="E42" s="16">
        <v>0.6</v>
      </c>
      <c r="F42" s="19">
        <f t="shared" si="0"/>
        <v>1.529694061187762E-2</v>
      </c>
    </row>
    <row r="43" spans="2:6" ht="14.25" x14ac:dyDescent="0.2">
      <c r="B43" s="14">
        <v>0.1</v>
      </c>
      <c r="C43" s="14">
        <v>0</v>
      </c>
      <c r="D43" s="14">
        <v>0.18</v>
      </c>
      <c r="E43" s="16">
        <v>0.7</v>
      </c>
      <c r="F43" s="19">
        <f t="shared" si="0"/>
        <v>1.7846430713857223E-2</v>
      </c>
    </row>
    <row r="44" spans="2:6" ht="14.25" x14ac:dyDescent="0.2">
      <c r="B44" s="14">
        <v>0.1</v>
      </c>
      <c r="C44" s="14">
        <v>0</v>
      </c>
      <c r="D44" s="14">
        <v>0.19</v>
      </c>
      <c r="E44" s="16">
        <v>0.6</v>
      </c>
      <c r="F44" s="19">
        <f t="shared" si="0"/>
        <v>1.529694061187762E-2</v>
      </c>
    </row>
    <row r="45" spans="2:6" ht="14.25" x14ac:dyDescent="0.2">
      <c r="B45" s="14">
        <v>0.1</v>
      </c>
      <c r="C45" s="14">
        <v>0</v>
      </c>
      <c r="D45" s="14">
        <v>0.2</v>
      </c>
      <c r="E45" s="16">
        <v>0.5</v>
      </c>
      <c r="F45" s="19">
        <f t="shared" si="0"/>
        <v>1.2747450509898017E-2</v>
      </c>
    </row>
    <row r="46" spans="2:6" ht="14.25" x14ac:dyDescent="0.2">
      <c r="B46" s="14">
        <v>0.1</v>
      </c>
      <c r="C46" s="14">
        <v>0</v>
      </c>
      <c r="D46" s="14">
        <v>0.21</v>
      </c>
      <c r="E46" s="16">
        <v>0.4</v>
      </c>
      <c r="F46" s="19">
        <f t="shared" si="0"/>
        <v>1.0197960407918415E-2</v>
      </c>
    </row>
    <row r="47" spans="2:6" ht="14.25" x14ac:dyDescent="0.2">
      <c r="B47" s="14">
        <v>0.15</v>
      </c>
      <c r="C47" s="14">
        <v>0</v>
      </c>
      <c r="D47" s="18">
        <v>0</v>
      </c>
      <c r="E47" s="16">
        <v>31.6</v>
      </c>
      <c r="F47" s="19">
        <f t="shared" si="0"/>
        <v>0.80563887222555475</v>
      </c>
    </row>
    <row r="48" spans="2:6" ht="14.25" x14ac:dyDescent="0.2">
      <c r="B48" s="14">
        <v>0.15</v>
      </c>
      <c r="C48" s="14">
        <v>0</v>
      </c>
      <c r="D48" s="14">
        <v>0.01</v>
      </c>
      <c r="E48" s="16">
        <v>31.7</v>
      </c>
      <c r="F48" s="19">
        <f t="shared" si="0"/>
        <v>0.80818836232753433</v>
      </c>
    </row>
    <row r="49" spans="2:6" ht="14.25" x14ac:dyDescent="0.2">
      <c r="B49" s="14">
        <v>0.15</v>
      </c>
      <c r="C49" s="14">
        <v>0</v>
      </c>
      <c r="D49" s="14">
        <v>0.02</v>
      </c>
      <c r="E49" s="16">
        <v>37.299999999999997</v>
      </c>
      <c r="F49" s="19">
        <f t="shared" si="0"/>
        <v>0.95095980803839197</v>
      </c>
    </row>
    <row r="50" spans="2:6" ht="14.25" x14ac:dyDescent="0.2">
      <c r="B50" s="14">
        <v>0.15</v>
      </c>
      <c r="C50" s="14">
        <v>0</v>
      </c>
      <c r="D50" s="14">
        <v>0.03</v>
      </c>
      <c r="E50" s="16">
        <v>44.4</v>
      </c>
      <c r="F50" s="19">
        <f t="shared" si="0"/>
        <v>1.131973605278944</v>
      </c>
    </row>
    <row r="51" spans="2:6" ht="14.25" x14ac:dyDescent="0.2">
      <c r="B51" s="14">
        <v>0.15</v>
      </c>
      <c r="C51" s="14">
        <v>0</v>
      </c>
      <c r="D51" s="14">
        <v>0.04</v>
      </c>
      <c r="E51" s="16">
        <v>52.4</v>
      </c>
      <c r="F51" s="19">
        <f t="shared" si="0"/>
        <v>1.3359328134373121</v>
      </c>
    </row>
    <row r="52" spans="2:6" ht="14.25" x14ac:dyDescent="0.2">
      <c r="B52" s="14">
        <v>0.15</v>
      </c>
      <c r="C52" s="14">
        <v>0</v>
      </c>
      <c r="D52" s="14">
        <v>0.05</v>
      </c>
      <c r="E52" s="16">
        <v>64.5</v>
      </c>
      <c r="F52" s="19">
        <f t="shared" si="0"/>
        <v>1.6444211157768442</v>
      </c>
    </row>
    <row r="53" spans="2:6" ht="14.25" x14ac:dyDescent="0.2">
      <c r="B53" s="14">
        <v>0.15</v>
      </c>
      <c r="C53" s="14">
        <v>0</v>
      </c>
      <c r="D53" s="14">
        <v>0.06</v>
      </c>
      <c r="E53" s="16">
        <v>73.5</v>
      </c>
      <c r="F53" s="19">
        <f t="shared" si="0"/>
        <v>1.8738752249550086</v>
      </c>
    </row>
    <row r="54" spans="2:6" ht="14.25" x14ac:dyDescent="0.2">
      <c r="B54" s="14">
        <v>0.15</v>
      </c>
      <c r="C54" s="14">
        <v>0</v>
      </c>
      <c r="D54" s="14">
        <v>7.0000000000000007E-2</v>
      </c>
      <c r="E54" s="16">
        <v>88.1</v>
      </c>
      <c r="F54" s="19">
        <f t="shared" si="0"/>
        <v>2.2461007798440304</v>
      </c>
    </row>
    <row r="55" spans="2:6" ht="14.25" x14ac:dyDescent="0.2">
      <c r="B55" s="14">
        <v>0.15</v>
      </c>
      <c r="C55" s="14">
        <v>0</v>
      </c>
      <c r="D55" s="14">
        <v>0.08</v>
      </c>
      <c r="E55" s="16">
        <v>96</v>
      </c>
      <c r="F55" s="19">
        <f t="shared" si="0"/>
        <v>2.4475104979004194</v>
      </c>
    </row>
    <row r="56" spans="2:6" ht="14.25" x14ac:dyDescent="0.2">
      <c r="B56" s="14">
        <v>0.15</v>
      </c>
      <c r="C56" s="14">
        <v>0</v>
      </c>
      <c r="D56" s="14">
        <v>0.09</v>
      </c>
      <c r="E56" s="16">
        <v>112.2</v>
      </c>
      <c r="F56" s="19">
        <f t="shared" si="0"/>
        <v>2.8605278944211152</v>
      </c>
    </row>
    <row r="57" spans="2:6" ht="14.25" x14ac:dyDescent="0.2">
      <c r="B57" s="14">
        <v>0.15</v>
      </c>
      <c r="C57" s="14">
        <v>0</v>
      </c>
      <c r="D57" s="14">
        <v>0.1</v>
      </c>
      <c r="E57" s="16">
        <v>117.6</v>
      </c>
      <c r="F57" s="19">
        <f t="shared" si="0"/>
        <v>2.9982003599280134</v>
      </c>
    </row>
    <row r="58" spans="2:6" ht="14.25" x14ac:dyDescent="0.2">
      <c r="B58" s="14">
        <v>0.15</v>
      </c>
      <c r="C58" s="14">
        <v>0</v>
      </c>
      <c r="D58" s="14">
        <v>0.11</v>
      </c>
      <c r="E58" s="16">
        <v>121.2</v>
      </c>
      <c r="F58" s="19">
        <f t="shared" si="0"/>
        <v>3.0899820035992795</v>
      </c>
    </row>
    <row r="59" spans="2:6" ht="14.25" x14ac:dyDescent="0.2">
      <c r="B59" s="14">
        <v>0.15</v>
      </c>
      <c r="C59" s="14">
        <v>0</v>
      </c>
      <c r="D59" s="14">
        <v>0.12</v>
      </c>
      <c r="E59" s="16">
        <v>104.6</v>
      </c>
      <c r="F59" s="19">
        <f t="shared" si="0"/>
        <v>2.666766646670665</v>
      </c>
    </row>
    <row r="60" spans="2:6" ht="14.25" x14ac:dyDescent="0.2">
      <c r="B60" s="14">
        <v>0.15</v>
      </c>
      <c r="C60" s="14">
        <v>0</v>
      </c>
      <c r="D60" s="14">
        <v>0.13</v>
      </c>
      <c r="E60" s="16">
        <v>72.099999999999994</v>
      </c>
      <c r="F60" s="19">
        <f t="shared" si="0"/>
        <v>1.838182363527294</v>
      </c>
    </row>
    <row r="61" spans="2:6" ht="14.25" x14ac:dyDescent="0.2">
      <c r="B61" s="14">
        <v>0.15</v>
      </c>
      <c r="C61" s="14">
        <v>0</v>
      </c>
      <c r="D61" s="14">
        <v>0.14000000000000001</v>
      </c>
      <c r="E61" s="16">
        <v>34</v>
      </c>
      <c r="F61" s="19">
        <f t="shared" si="0"/>
        <v>0.8668266346730652</v>
      </c>
    </row>
    <row r="62" spans="2:6" ht="14.25" x14ac:dyDescent="0.2">
      <c r="B62" s="14">
        <v>0.15</v>
      </c>
      <c r="C62" s="14">
        <v>0</v>
      </c>
      <c r="D62" s="14">
        <v>0.15</v>
      </c>
      <c r="E62" s="16">
        <v>12.8</v>
      </c>
      <c r="F62" s="19">
        <f t="shared" si="0"/>
        <v>0.32633473305338928</v>
      </c>
    </row>
    <row r="63" spans="2:6" ht="14.25" x14ac:dyDescent="0.2">
      <c r="B63" s="14">
        <v>0.15</v>
      </c>
      <c r="C63" s="14">
        <v>0</v>
      </c>
      <c r="D63" s="14">
        <v>0.16</v>
      </c>
      <c r="E63" s="16">
        <v>3.2</v>
      </c>
      <c r="F63" s="19">
        <f t="shared" si="0"/>
        <v>8.158368326334732E-2</v>
      </c>
    </row>
    <row r="64" spans="2:6" ht="14.25" x14ac:dyDescent="0.2">
      <c r="B64" s="14">
        <v>0.15</v>
      </c>
      <c r="C64" s="14">
        <v>0</v>
      </c>
      <c r="D64" s="14">
        <v>0.17</v>
      </c>
      <c r="E64" s="16">
        <v>0.8</v>
      </c>
      <c r="F64" s="19">
        <f t="shared" si="0"/>
        <v>2.039592081583683E-2</v>
      </c>
    </row>
    <row r="65" spans="2:6" ht="14.25" x14ac:dyDescent="0.2">
      <c r="B65" s="14">
        <v>0.15</v>
      </c>
      <c r="C65" s="14">
        <v>0</v>
      </c>
      <c r="D65" s="14">
        <v>0.18</v>
      </c>
      <c r="E65" s="16">
        <v>0.6</v>
      </c>
      <c r="F65" s="19">
        <f t="shared" si="0"/>
        <v>1.529694061187762E-2</v>
      </c>
    </row>
    <row r="66" spans="2:6" ht="14.25" x14ac:dyDescent="0.2">
      <c r="B66" s="14">
        <v>0.15</v>
      </c>
      <c r="C66" s="14">
        <v>0</v>
      </c>
      <c r="D66" s="14">
        <v>0.19</v>
      </c>
      <c r="E66" s="16">
        <v>0.5</v>
      </c>
      <c r="F66" s="19">
        <f t="shared" si="0"/>
        <v>1.2747450509898017E-2</v>
      </c>
    </row>
    <row r="67" spans="2:6" ht="14.25" x14ac:dyDescent="0.2">
      <c r="B67" s="14">
        <v>0.15</v>
      </c>
      <c r="C67" s="14">
        <v>0</v>
      </c>
      <c r="D67" s="14">
        <v>0.2</v>
      </c>
      <c r="E67" s="16">
        <v>0.4</v>
      </c>
      <c r="F67" s="19">
        <f t="shared" si="0"/>
        <v>1.0197960407918415E-2</v>
      </c>
    </row>
    <row r="68" spans="2:6" ht="14.25" x14ac:dyDescent="0.2">
      <c r="B68" s="14">
        <v>0.15</v>
      </c>
      <c r="C68" s="14">
        <v>0</v>
      </c>
      <c r="D68" s="14">
        <v>0.21</v>
      </c>
      <c r="E68" s="16">
        <v>0.4</v>
      </c>
      <c r="F68" s="19">
        <f t="shared" ref="F68:F131" si="1">E68/$F$1</f>
        <v>1.0197960407918415E-2</v>
      </c>
    </row>
    <row r="69" spans="2:6" ht="14.25" x14ac:dyDescent="0.2">
      <c r="B69" s="14">
        <v>0.2</v>
      </c>
      <c r="C69" s="14">
        <v>0</v>
      </c>
      <c r="D69" s="18">
        <v>0</v>
      </c>
      <c r="E69" s="16">
        <v>32.9</v>
      </c>
      <c r="F69" s="19">
        <f t="shared" si="1"/>
        <v>0.8387822435512895</v>
      </c>
    </row>
    <row r="70" spans="2:6" ht="14.25" x14ac:dyDescent="0.2">
      <c r="B70" s="14">
        <v>0.2</v>
      </c>
      <c r="C70" s="14">
        <v>0</v>
      </c>
      <c r="D70" s="14">
        <v>0.01</v>
      </c>
      <c r="E70" s="16">
        <v>33.6</v>
      </c>
      <c r="F70" s="19">
        <f t="shared" si="1"/>
        <v>0.85662867426514677</v>
      </c>
    </row>
    <row r="71" spans="2:6" ht="14.25" x14ac:dyDescent="0.2">
      <c r="B71" s="14">
        <v>0.2</v>
      </c>
      <c r="C71" s="14">
        <v>0</v>
      </c>
      <c r="D71" s="14">
        <v>0.02</v>
      </c>
      <c r="E71" s="16">
        <v>38.4</v>
      </c>
      <c r="F71" s="19">
        <f t="shared" si="1"/>
        <v>0.97900419916016768</v>
      </c>
    </row>
    <row r="72" spans="2:6" ht="14.25" x14ac:dyDescent="0.2">
      <c r="B72" s="14">
        <v>0.2</v>
      </c>
      <c r="C72" s="14">
        <v>0</v>
      </c>
      <c r="D72" s="14">
        <v>0.03</v>
      </c>
      <c r="E72" s="16">
        <v>43</v>
      </c>
      <c r="F72" s="19">
        <f t="shared" si="1"/>
        <v>1.0962807438512294</v>
      </c>
    </row>
    <row r="73" spans="2:6" ht="14.25" x14ac:dyDescent="0.2">
      <c r="B73" s="14">
        <v>0.2</v>
      </c>
      <c r="C73" s="14">
        <v>0</v>
      </c>
      <c r="D73" s="14">
        <v>0.04</v>
      </c>
      <c r="E73" s="16">
        <v>50.9</v>
      </c>
      <c r="F73" s="19">
        <f t="shared" si="1"/>
        <v>1.2976904619076182</v>
      </c>
    </row>
    <row r="74" spans="2:6" ht="14.25" x14ac:dyDescent="0.2">
      <c r="B74" s="14">
        <v>0.2</v>
      </c>
      <c r="C74" s="14">
        <v>0</v>
      </c>
      <c r="D74" s="14">
        <v>0.05</v>
      </c>
      <c r="E74" s="16">
        <v>57</v>
      </c>
      <c r="F74" s="19">
        <f t="shared" si="1"/>
        <v>1.453209358128374</v>
      </c>
    </row>
    <row r="75" spans="2:6" ht="14.25" x14ac:dyDescent="0.2">
      <c r="B75" s="14">
        <v>0.2</v>
      </c>
      <c r="C75" s="14">
        <v>0</v>
      </c>
      <c r="D75" s="14">
        <v>0.06</v>
      </c>
      <c r="E75" s="16">
        <v>65.599999999999994</v>
      </c>
      <c r="F75" s="19">
        <f t="shared" si="1"/>
        <v>1.6724655068986196</v>
      </c>
    </row>
    <row r="76" spans="2:6" ht="14.25" x14ac:dyDescent="0.2">
      <c r="B76" s="14">
        <v>0.2</v>
      </c>
      <c r="C76" s="14">
        <v>0</v>
      </c>
      <c r="D76" s="14">
        <v>7.0000000000000007E-2</v>
      </c>
      <c r="E76" s="16">
        <v>72.900000000000006</v>
      </c>
      <c r="F76" s="19">
        <f t="shared" si="1"/>
        <v>1.8585782843431311</v>
      </c>
    </row>
    <row r="77" spans="2:6" ht="14.25" x14ac:dyDescent="0.2">
      <c r="B77" s="14">
        <v>0.2</v>
      </c>
      <c r="C77" s="14">
        <v>0</v>
      </c>
      <c r="D77" s="14">
        <v>0.08</v>
      </c>
      <c r="E77" s="16">
        <v>79.400000000000006</v>
      </c>
      <c r="F77" s="19">
        <f t="shared" si="1"/>
        <v>2.0242951409718053</v>
      </c>
    </row>
    <row r="78" spans="2:6" ht="14.25" x14ac:dyDescent="0.2">
      <c r="B78" s="14">
        <v>0.2</v>
      </c>
      <c r="C78" s="14">
        <v>0</v>
      </c>
      <c r="D78" s="14">
        <v>0.09</v>
      </c>
      <c r="E78" s="16">
        <v>84.9</v>
      </c>
      <c r="F78" s="19">
        <f t="shared" si="1"/>
        <v>2.1645170965806835</v>
      </c>
    </row>
    <row r="79" spans="2:6" ht="14.25" x14ac:dyDescent="0.2">
      <c r="B79" s="14">
        <v>0.2</v>
      </c>
      <c r="C79" s="14">
        <v>0</v>
      </c>
      <c r="D79" s="14">
        <v>0.1</v>
      </c>
      <c r="E79" s="16">
        <v>86.4</v>
      </c>
      <c r="F79" s="19">
        <f t="shared" si="1"/>
        <v>2.2027594481103776</v>
      </c>
    </row>
    <row r="80" spans="2:6" ht="14.25" x14ac:dyDescent="0.2">
      <c r="B80" s="14">
        <v>0.2</v>
      </c>
      <c r="C80" s="14">
        <v>0</v>
      </c>
      <c r="D80" s="14">
        <v>0.11</v>
      </c>
      <c r="E80" s="16">
        <v>81.8</v>
      </c>
      <c r="F80" s="19">
        <f t="shared" si="1"/>
        <v>2.0854829034193156</v>
      </c>
    </row>
    <row r="81" spans="2:6" ht="14.25" x14ac:dyDescent="0.2">
      <c r="B81" s="14">
        <v>0.2</v>
      </c>
      <c r="C81" s="14">
        <v>0</v>
      </c>
      <c r="D81" s="14">
        <v>0.12</v>
      </c>
      <c r="E81" s="16">
        <v>67.900000000000006</v>
      </c>
      <c r="F81" s="19">
        <f t="shared" si="1"/>
        <v>1.7311037792441508</v>
      </c>
    </row>
    <row r="82" spans="2:6" ht="14.25" x14ac:dyDescent="0.2">
      <c r="B82" s="14">
        <v>0.2</v>
      </c>
      <c r="C82" s="14">
        <v>0</v>
      </c>
      <c r="D82" s="14">
        <v>0.13</v>
      </c>
      <c r="E82" s="16">
        <v>48.7</v>
      </c>
      <c r="F82" s="19">
        <f t="shared" si="1"/>
        <v>1.241601679664067</v>
      </c>
    </row>
    <row r="83" spans="2:6" ht="14.25" x14ac:dyDescent="0.2">
      <c r="B83" s="14">
        <v>0.2</v>
      </c>
      <c r="C83" s="14">
        <v>0</v>
      </c>
      <c r="D83" s="14">
        <v>0.14000000000000001</v>
      </c>
      <c r="E83" s="16">
        <v>26.5</v>
      </c>
      <c r="F83" s="19">
        <f t="shared" si="1"/>
        <v>0.67561487702459488</v>
      </c>
    </row>
    <row r="84" spans="2:6" ht="14.25" x14ac:dyDescent="0.2">
      <c r="B84" s="14">
        <v>0.2</v>
      </c>
      <c r="C84" s="14">
        <v>0</v>
      </c>
      <c r="D84" s="14">
        <v>0.15</v>
      </c>
      <c r="E84" s="16">
        <v>11.5</v>
      </c>
      <c r="F84" s="19">
        <f t="shared" si="1"/>
        <v>0.29319136172765442</v>
      </c>
    </row>
    <row r="85" spans="2:6" ht="14.25" x14ac:dyDescent="0.2">
      <c r="B85" s="14">
        <v>0.2</v>
      </c>
      <c r="C85" s="14">
        <v>0</v>
      </c>
      <c r="D85" s="14">
        <v>0.16</v>
      </c>
      <c r="E85" s="16">
        <v>3.7</v>
      </c>
      <c r="F85" s="19">
        <f t="shared" si="1"/>
        <v>9.4331133773245326E-2</v>
      </c>
    </row>
    <row r="86" spans="2:6" ht="14.25" x14ac:dyDescent="0.2">
      <c r="B86" s="14">
        <v>0.2</v>
      </c>
      <c r="C86" s="14">
        <v>0</v>
      </c>
      <c r="D86" s="14">
        <v>0.17</v>
      </c>
      <c r="E86" s="16">
        <v>1</v>
      </c>
      <c r="F86" s="19">
        <f t="shared" si="1"/>
        <v>2.5494901019796033E-2</v>
      </c>
    </row>
    <row r="87" spans="2:6" ht="14.25" x14ac:dyDescent="0.2">
      <c r="B87" s="14">
        <v>0.2</v>
      </c>
      <c r="C87" s="14">
        <v>0</v>
      </c>
      <c r="D87" s="14">
        <v>0.18</v>
      </c>
      <c r="E87" s="16">
        <v>0.5</v>
      </c>
      <c r="F87" s="19">
        <f t="shared" si="1"/>
        <v>1.2747450509898017E-2</v>
      </c>
    </row>
    <row r="88" spans="2:6" ht="14.25" x14ac:dyDescent="0.2">
      <c r="B88" s="14">
        <v>0.2</v>
      </c>
      <c r="C88" s="14">
        <v>0</v>
      </c>
      <c r="D88" s="14">
        <v>0.19</v>
      </c>
      <c r="E88" s="16">
        <v>0.4</v>
      </c>
      <c r="F88" s="19">
        <f t="shared" si="1"/>
        <v>1.0197960407918415E-2</v>
      </c>
    </row>
    <row r="89" spans="2:6" ht="14.25" x14ac:dyDescent="0.2">
      <c r="B89" s="14">
        <v>0.2</v>
      </c>
      <c r="C89" s="14">
        <v>0</v>
      </c>
      <c r="D89" s="14">
        <v>0.2</v>
      </c>
      <c r="E89" s="16">
        <v>0.4</v>
      </c>
      <c r="F89" s="19">
        <f t="shared" si="1"/>
        <v>1.0197960407918415E-2</v>
      </c>
    </row>
    <row r="90" spans="2:6" ht="14.25" x14ac:dyDescent="0.2">
      <c r="B90" s="14">
        <v>0.2</v>
      </c>
      <c r="C90" s="14">
        <v>0</v>
      </c>
      <c r="D90" s="14">
        <v>0.21</v>
      </c>
      <c r="E90" s="16">
        <v>0.3</v>
      </c>
      <c r="F90" s="19">
        <f t="shared" si="1"/>
        <v>7.64847030593881E-3</v>
      </c>
    </row>
    <row r="91" spans="2:6" ht="14.25" x14ac:dyDescent="0.2">
      <c r="B91" s="14">
        <v>0.25</v>
      </c>
      <c r="C91" s="14">
        <v>0</v>
      </c>
      <c r="D91" s="18">
        <v>0</v>
      </c>
      <c r="E91" s="16">
        <v>34.4</v>
      </c>
      <c r="F91" s="19">
        <f t="shared" si="1"/>
        <v>0.87702459508098352</v>
      </c>
    </row>
    <row r="92" spans="2:6" ht="14.25" x14ac:dyDescent="0.2">
      <c r="B92" s="14">
        <v>0.25</v>
      </c>
      <c r="C92" s="14">
        <v>0</v>
      </c>
      <c r="D92" s="14">
        <v>0.01</v>
      </c>
      <c r="E92" s="16">
        <v>34</v>
      </c>
      <c r="F92" s="19">
        <f t="shared" si="1"/>
        <v>0.8668266346730652</v>
      </c>
    </row>
    <row r="93" spans="2:6" ht="14.25" x14ac:dyDescent="0.2">
      <c r="B93" s="14">
        <v>0.25</v>
      </c>
      <c r="C93" s="14">
        <v>0</v>
      </c>
      <c r="D93" s="14">
        <v>0.02</v>
      </c>
      <c r="E93" s="16">
        <v>36.700000000000003</v>
      </c>
      <c r="F93" s="19">
        <f t="shared" si="1"/>
        <v>0.9356628674265145</v>
      </c>
    </row>
    <row r="94" spans="2:6" ht="14.25" x14ac:dyDescent="0.2">
      <c r="B94" s="14">
        <v>0.25</v>
      </c>
      <c r="C94" s="14">
        <v>0</v>
      </c>
      <c r="D94" s="14">
        <v>0.03</v>
      </c>
      <c r="E94" s="16">
        <v>40.5</v>
      </c>
      <c r="F94" s="19">
        <f t="shared" si="1"/>
        <v>1.0325434913017395</v>
      </c>
    </row>
    <row r="95" spans="2:6" ht="14.25" x14ac:dyDescent="0.2">
      <c r="B95" s="14">
        <v>0.25</v>
      </c>
      <c r="C95" s="14">
        <v>0</v>
      </c>
      <c r="D95" s="14">
        <v>0.04</v>
      </c>
      <c r="E95" s="16">
        <v>45.7</v>
      </c>
      <c r="F95" s="19">
        <f t="shared" si="1"/>
        <v>1.1651169766046789</v>
      </c>
    </row>
    <row r="96" spans="2:6" ht="14.25" x14ac:dyDescent="0.2">
      <c r="B96" s="14">
        <v>0.25</v>
      </c>
      <c r="C96" s="14">
        <v>0</v>
      </c>
      <c r="D96" s="14">
        <v>0.05</v>
      </c>
      <c r="E96" s="16">
        <v>50.6</v>
      </c>
      <c r="F96" s="19">
        <f t="shared" si="1"/>
        <v>1.2900419916016794</v>
      </c>
    </row>
    <row r="97" spans="2:6" ht="14.25" x14ac:dyDescent="0.2">
      <c r="B97" s="14">
        <v>0.25</v>
      </c>
      <c r="C97" s="14">
        <v>0</v>
      </c>
      <c r="D97" s="14">
        <v>0.06</v>
      </c>
      <c r="E97" s="16">
        <v>55.1</v>
      </c>
      <c r="F97" s="19">
        <f t="shared" si="1"/>
        <v>1.4047690461907616</v>
      </c>
    </row>
    <row r="98" spans="2:6" ht="14.25" x14ac:dyDescent="0.2">
      <c r="B98" s="14">
        <v>0.25</v>
      </c>
      <c r="C98" s="14">
        <v>0</v>
      </c>
      <c r="D98" s="14">
        <v>7.0000000000000007E-2</v>
      </c>
      <c r="E98" s="16">
        <v>58.9</v>
      </c>
      <c r="F98" s="19">
        <f t="shared" si="1"/>
        <v>1.5016496700659865</v>
      </c>
    </row>
    <row r="99" spans="2:6" ht="14.25" x14ac:dyDescent="0.2">
      <c r="B99" s="14">
        <v>0.25</v>
      </c>
      <c r="C99" s="14">
        <v>0</v>
      </c>
      <c r="D99" s="14">
        <v>0.08</v>
      </c>
      <c r="E99" s="16">
        <v>61.8</v>
      </c>
      <c r="F99" s="19">
        <f t="shared" si="1"/>
        <v>1.5755848830233949</v>
      </c>
    </row>
    <row r="100" spans="2:6" ht="14.25" x14ac:dyDescent="0.2">
      <c r="B100" s="14">
        <v>0.25</v>
      </c>
      <c r="C100" s="14">
        <v>0</v>
      </c>
      <c r="D100" s="14">
        <v>0.09</v>
      </c>
      <c r="E100" s="16">
        <v>63.6</v>
      </c>
      <c r="F100" s="19">
        <f t="shared" si="1"/>
        <v>1.6214757048590278</v>
      </c>
    </row>
    <row r="101" spans="2:6" ht="14.25" x14ac:dyDescent="0.2">
      <c r="B101" s="14">
        <v>0.25</v>
      </c>
      <c r="C101" s="14">
        <v>0</v>
      </c>
      <c r="D101" s="14">
        <v>0.1</v>
      </c>
      <c r="E101" s="16">
        <v>61.9</v>
      </c>
      <c r="F101" s="19">
        <f t="shared" si="1"/>
        <v>1.5781343731253745</v>
      </c>
    </row>
    <row r="102" spans="2:6" ht="14.25" x14ac:dyDescent="0.2">
      <c r="B102" s="14">
        <v>0.25</v>
      </c>
      <c r="C102" s="14">
        <v>0</v>
      </c>
      <c r="D102" s="14">
        <v>0.11</v>
      </c>
      <c r="E102" s="16">
        <v>55.4</v>
      </c>
      <c r="F102" s="19">
        <f t="shared" si="1"/>
        <v>1.4124175164967003</v>
      </c>
    </row>
    <row r="103" spans="2:6" ht="14.25" x14ac:dyDescent="0.2">
      <c r="B103" s="14">
        <v>0.25</v>
      </c>
      <c r="C103" s="14">
        <v>0</v>
      </c>
      <c r="D103" s="14">
        <v>0.12</v>
      </c>
      <c r="E103" s="16">
        <v>46.9</v>
      </c>
      <c r="F103" s="19">
        <f t="shared" si="1"/>
        <v>1.1957108578284339</v>
      </c>
    </row>
    <row r="104" spans="2:6" ht="14.25" x14ac:dyDescent="0.2">
      <c r="B104" s="14">
        <v>0.25</v>
      </c>
      <c r="C104" s="14">
        <v>0</v>
      </c>
      <c r="D104" s="14">
        <v>0.13</v>
      </c>
      <c r="E104" s="16">
        <v>32.4</v>
      </c>
      <c r="F104" s="19">
        <f t="shared" si="1"/>
        <v>0.82603479304139149</v>
      </c>
    </row>
    <row r="105" spans="2:6" ht="14.25" x14ac:dyDescent="0.2">
      <c r="B105" s="14">
        <v>0.25</v>
      </c>
      <c r="C105" s="14">
        <v>0</v>
      </c>
      <c r="D105" s="14">
        <v>0.14000000000000001</v>
      </c>
      <c r="E105" s="16">
        <v>18.7</v>
      </c>
      <c r="F105" s="19">
        <f t="shared" si="1"/>
        <v>0.47675464907018583</v>
      </c>
    </row>
    <row r="106" spans="2:6" ht="14.25" x14ac:dyDescent="0.2">
      <c r="B106" s="14">
        <v>0.25</v>
      </c>
      <c r="C106" s="14">
        <v>0</v>
      </c>
      <c r="D106" s="14">
        <v>0.15</v>
      </c>
      <c r="E106" s="16">
        <v>9.4</v>
      </c>
      <c r="F106" s="19">
        <f t="shared" si="1"/>
        <v>0.23965206958608273</v>
      </c>
    </row>
    <row r="107" spans="2:6" ht="14.25" x14ac:dyDescent="0.2">
      <c r="B107" s="14">
        <v>0.25</v>
      </c>
      <c r="C107" s="14">
        <v>0</v>
      </c>
      <c r="D107" s="14">
        <v>0.16</v>
      </c>
      <c r="E107" s="16">
        <v>3.9</v>
      </c>
      <c r="F107" s="19">
        <f t="shared" si="1"/>
        <v>9.9430113977204526E-2</v>
      </c>
    </row>
    <row r="108" spans="2:6" ht="14.25" x14ac:dyDescent="0.2">
      <c r="B108" s="14">
        <v>0.25</v>
      </c>
      <c r="C108" s="14">
        <v>0</v>
      </c>
      <c r="D108" s="14">
        <v>0.17</v>
      </c>
      <c r="E108" s="16">
        <v>1.3</v>
      </c>
      <c r="F108" s="19">
        <f t="shared" si="1"/>
        <v>3.3143371325734847E-2</v>
      </c>
    </row>
    <row r="109" spans="2:6" ht="14.25" x14ac:dyDescent="0.2">
      <c r="B109" s="14">
        <v>0.25</v>
      </c>
      <c r="C109" s="14">
        <v>0</v>
      </c>
      <c r="D109" s="14">
        <v>0.18</v>
      </c>
      <c r="E109" s="16">
        <v>0.6</v>
      </c>
      <c r="F109" s="19">
        <f t="shared" si="1"/>
        <v>1.529694061187762E-2</v>
      </c>
    </row>
    <row r="110" spans="2:6" ht="14.25" x14ac:dyDescent="0.2">
      <c r="B110" s="14">
        <v>0.25</v>
      </c>
      <c r="C110" s="14">
        <v>0</v>
      </c>
      <c r="D110" s="14">
        <v>0.19</v>
      </c>
      <c r="E110" s="16">
        <v>0.3</v>
      </c>
      <c r="F110" s="19">
        <f t="shared" si="1"/>
        <v>7.64847030593881E-3</v>
      </c>
    </row>
    <row r="111" spans="2:6" ht="14.25" x14ac:dyDescent="0.2">
      <c r="B111" s="14">
        <v>0.25</v>
      </c>
      <c r="C111" s="14">
        <v>0</v>
      </c>
      <c r="D111" s="14">
        <v>0.2</v>
      </c>
      <c r="E111" s="16">
        <v>0.3</v>
      </c>
      <c r="F111" s="19">
        <f t="shared" si="1"/>
        <v>7.64847030593881E-3</v>
      </c>
    </row>
    <row r="112" spans="2:6" ht="14.25" x14ac:dyDescent="0.2">
      <c r="B112" s="14">
        <v>0.25</v>
      </c>
      <c r="C112" s="14">
        <v>0</v>
      </c>
      <c r="D112" s="14">
        <v>0.21</v>
      </c>
      <c r="E112" s="16">
        <v>0.2</v>
      </c>
      <c r="F112" s="19">
        <f t="shared" si="1"/>
        <v>5.0989802039592075E-3</v>
      </c>
    </row>
    <row r="113" spans="2:6" ht="14.25" x14ac:dyDescent="0.2">
      <c r="B113" s="14">
        <v>0.3</v>
      </c>
      <c r="C113" s="14">
        <v>0</v>
      </c>
      <c r="D113" s="18">
        <v>0</v>
      </c>
      <c r="E113" s="16">
        <v>32</v>
      </c>
      <c r="F113" s="19">
        <f t="shared" si="1"/>
        <v>0.81583683263347306</v>
      </c>
    </row>
    <row r="114" spans="2:6" ht="14.25" x14ac:dyDescent="0.2">
      <c r="B114" s="14">
        <v>0.3</v>
      </c>
      <c r="C114" s="14">
        <v>0</v>
      </c>
      <c r="D114" s="14">
        <v>0.01</v>
      </c>
      <c r="E114" s="16">
        <v>32.4</v>
      </c>
      <c r="F114" s="19">
        <f t="shared" si="1"/>
        <v>0.82603479304139149</v>
      </c>
    </row>
    <row r="115" spans="2:6" ht="14.25" x14ac:dyDescent="0.2">
      <c r="B115" s="14">
        <v>0.3</v>
      </c>
      <c r="C115" s="14">
        <v>0</v>
      </c>
      <c r="D115" s="14">
        <v>0.02</v>
      </c>
      <c r="E115" s="16">
        <v>33.5</v>
      </c>
      <c r="F115" s="19">
        <f t="shared" si="1"/>
        <v>0.85407918416316719</v>
      </c>
    </row>
    <row r="116" spans="2:6" ht="14.25" x14ac:dyDescent="0.2">
      <c r="B116" s="14">
        <v>0.3</v>
      </c>
      <c r="C116" s="14">
        <v>0</v>
      </c>
      <c r="D116" s="14">
        <v>0.03</v>
      </c>
      <c r="E116" s="16">
        <v>36.1</v>
      </c>
      <c r="F116" s="19">
        <f t="shared" si="1"/>
        <v>0.92036592681463691</v>
      </c>
    </row>
    <row r="117" spans="2:6" ht="14.25" x14ac:dyDescent="0.2">
      <c r="B117" s="14">
        <v>0.3</v>
      </c>
      <c r="C117" s="14">
        <v>0</v>
      </c>
      <c r="D117" s="14">
        <v>0.04</v>
      </c>
      <c r="E117" s="16">
        <v>40.5</v>
      </c>
      <c r="F117" s="19">
        <f t="shared" si="1"/>
        <v>1.0325434913017395</v>
      </c>
    </row>
    <row r="118" spans="2:6" ht="14.25" x14ac:dyDescent="0.2">
      <c r="B118" s="14">
        <v>0.3</v>
      </c>
      <c r="C118" s="14">
        <v>0</v>
      </c>
      <c r="D118" s="14">
        <v>0.05</v>
      </c>
      <c r="E118" s="16">
        <v>43.9</v>
      </c>
      <c r="F118" s="19">
        <f t="shared" si="1"/>
        <v>1.1192261547690459</v>
      </c>
    </row>
    <row r="119" spans="2:6" ht="14.25" x14ac:dyDescent="0.2">
      <c r="B119" s="14">
        <v>0.3</v>
      </c>
      <c r="C119" s="14">
        <v>0</v>
      </c>
      <c r="D119" s="14">
        <v>0.06</v>
      </c>
      <c r="E119" s="16">
        <v>47</v>
      </c>
      <c r="F119" s="19">
        <f t="shared" si="1"/>
        <v>1.1982603479304137</v>
      </c>
    </row>
    <row r="120" spans="2:6" ht="14.25" x14ac:dyDescent="0.2">
      <c r="B120" s="14">
        <v>0.3</v>
      </c>
      <c r="C120" s="14">
        <v>0</v>
      </c>
      <c r="D120" s="14">
        <v>7.0000000000000007E-2</v>
      </c>
      <c r="E120" s="16">
        <v>49.5</v>
      </c>
      <c r="F120" s="19">
        <f t="shared" si="1"/>
        <v>1.2619976004799036</v>
      </c>
    </row>
    <row r="121" spans="2:6" ht="14.25" x14ac:dyDescent="0.2">
      <c r="B121" s="14">
        <v>0.3</v>
      </c>
      <c r="C121" s="14">
        <v>0</v>
      </c>
      <c r="D121" s="14">
        <v>0.08</v>
      </c>
      <c r="E121" s="16">
        <v>52</v>
      </c>
      <c r="F121" s="19">
        <f t="shared" si="1"/>
        <v>1.3257348530293938</v>
      </c>
    </row>
    <row r="122" spans="2:6" ht="14.25" x14ac:dyDescent="0.2">
      <c r="B122" s="14">
        <v>0.3</v>
      </c>
      <c r="C122" s="14">
        <v>0</v>
      </c>
      <c r="D122" s="14">
        <v>0.09</v>
      </c>
      <c r="E122" s="16">
        <v>50.7</v>
      </c>
      <c r="F122" s="19">
        <f t="shared" si="1"/>
        <v>1.292591481703659</v>
      </c>
    </row>
    <row r="123" spans="2:6" ht="14.25" x14ac:dyDescent="0.2">
      <c r="B123" s="14">
        <v>0.3</v>
      </c>
      <c r="C123" s="14">
        <v>0</v>
      </c>
      <c r="D123" s="14">
        <v>0.1</v>
      </c>
      <c r="E123" s="16">
        <v>49.2</v>
      </c>
      <c r="F123" s="19">
        <f t="shared" si="1"/>
        <v>1.2543491301739649</v>
      </c>
    </row>
    <row r="124" spans="2:6" ht="14.25" x14ac:dyDescent="0.2">
      <c r="B124" s="14">
        <v>0.3</v>
      </c>
      <c r="C124" s="14">
        <v>0</v>
      </c>
      <c r="D124" s="14">
        <v>0.11</v>
      </c>
      <c r="E124" s="16">
        <v>42.8</v>
      </c>
      <c r="F124" s="19">
        <f t="shared" si="1"/>
        <v>1.0911817636472703</v>
      </c>
    </row>
    <row r="125" spans="2:6" ht="14.25" x14ac:dyDescent="0.2">
      <c r="B125" s="14">
        <v>0.3</v>
      </c>
      <c r="C125" s="14">
        <v>0</v>
      </c>
      <c r="D125" s="14">
        <v>0.12</v>
      </c>
      <c r="E125" s="16">
        <v>36.700000000000003</v>
      </c>
      <c r="F125" s="19">
        <f t="shared" si="1"/>
        <v>0.9356628674265145</v>
      </c>
    </row>
    <row r="126" spans="2:6" ht="14.25" x14ac:dyDescent="0.2">
      <c r="B126" s="14">
        <v>0.3</v>
      </c>
      <c r="C126" s="14">
        <v>0</v>
      </c>
      <c r="D126" s="14">
        <v>0.13</v>
      </c>
      <c r="E126" s="16">
        <v>26.3</v>
      </c>
      <c r="F126" s="19">
        <f t="shared" si="1"/>
        <v>0.67051589682063573</v>
      </c>
    </row>
    <row r="127" spans="2:6" ht="14.25" x14ac:dyDescent="0.2">
      <c r="B127" s="14">
        <v>0.3</v>
      </c>
      <c r="C127" s="14">
        <v>0</v>
      </c>
      <c r="D127" s="14">
        <v>0.14000000000000001</v>
      </c>
      <c r="E127" s="16">
        <v>16.2</v>
      </c>
      <c r="F127" s="19">
        <f t="shared" si="1"/>
        <v>0.41301739652069575</v>
      </c>
    </row>
    <row r="128" spans="2:6" ht="14.25" x14ac:dyDescent="0.2">
      <c r="B128" s="14">
        <v>0.3</v>
      </c>
      <c r="C128" s="14">
        <v>0</v>
      </c>
      <c r="D128" s="14">
        <v>0.15</v>
      </c>
      <c r="E128" s="16">
        <v>8.6</v>
      </c>
      <c r="F128" s="19">
        <f t="shared" si="1"/>
        <v>0.21925614877024588</v>
      </c>
    </row>
    <row r="129" spans="2:6" ht="14.25" x14ac:dyDescent="0.2">
      <c r="B129" s="14">
        <v>0.3</v>
      </c>
      <c r="C129" s="14">
        <v>0</v>
      </c>
      <c r="D129" s="14">
        <v>0.16</v>
      </c>
      <c r="E129" s="16">
        <v>4.3</v>
      </c>
      <c r="F129" s="19">
        <f t="shared" si="1"/>
        <v>0.10962807438512294</v>
      </c>
    </row>
    <row r="130" spans="2:6" ht="14.25" x14ac:dyDescent="0.2">
      <c r="B130" s="14">
        <v>0.3</v>
      </c>
      <c r="C130" s="14">
        <v>0</v>
      </c>
      <c r="D130" s="14">
        <v>0.17</v>
      </c>
      <c r="E130" s="16">
        <v>1.4</v>
      </c>
      <c r="F130" s="19">
        <f t="shared" si="1"/>
        <v>3.5692861427714447E-2</v>
      </c>
    </row>
    <row r="131" spans="2:6" ht="14.25" x14ac:dyDescent="0.2">
      <c r="B131" s="14">
        <v>0.3</v>
      </c>
      <c r="C131" s="14">
        <v>0</v>
      </c>
      <c r="D131" s="14">
        <v>0.18</v>
      </c>
      <c r="E131" s="16">
        <v>0.8</v>
      </c>
      <c r="F131" s="19">
        <f t="shared" si="1"/>
        <v>2.039592081583683E-2</v>
      </c>
    </row>
    <row r="132" spans="2:6" ht="14.25" x14ac:dyDescent="0.2">
      <c r="B132" s="14">
        <v>0.3</v>
      </c>
      <c r="C132" s="14">
        <v>0</v>
      </c>
      <c r="D132" s="14">
        <v>0.19</v>
      </c>
      <c r="E132" s="16">
        <v>0.4</v>
      </c>
      <c r="F132" s="19">
        <f t="shared" ref="F132:F195" si="2">E132/$F$1</f>
        <v>1.0197960407918415E-2</v>
      </c>
    </row>
    <row r="133" spans="2:6" ht="14.25" x14ac:dyDescent="0.2">
      <c r="B133" s="14">
        <v>0.3</v>
      </c>
      <c r="C133" s="14">
        <v>0</v>
      </c>
      <c r="D133" s="14">
        <v>0.2</v>
      </c>
      <c r="E133" s="16">
        <v>0.2</v>
      </c>
      <c r="F133" s="19">
        <f t="shared" si="2"/>
        <v>5.0989802039592075E-3</v>
      </c>
    </row>
    <row r="134" spans="2:6" ht="14.25" x14ac:dyDescent="0.2">
      <c r="B134" s="14">
        <v>0.3</v>
      </c>
      <c r="C134" s="14">
        <v>0</v>
      </c>
      <c r="D134" s="14">
        <v>0.21</v>
      </c>
      <c r="E134" s="16">
        <v>0.2</v>
      </c>
      <c r="F134" s="19">
        <f t="shared" si="2"/>
        <v>5.0989802039592075E-3</v>
      </c>
    </row>
    <row r="135" spans="2:6" ht="14.25" x14ac:dyDescent="0.2">
      <c r="B135" s="14">
        <v>0.45</v>
      </c>
      <c r="C135" s="14">
        <v>0</v>
      </c>
      <c r="D135" s="14">
        <v>0</v>
      </c>
      <c r="E135" s="16">
        <v>29</v>
      </c>
      <c r="F135" s="19">
        <f t="shared" si="2"/>
        <v>0.73935212957408503</v>
      </c>
    </row>
    <row r="136" spans="2:6" ht="14.25" x14ac:dyDescent="0.2">
      <c r="B136" s="14">
        <v>0.45</v>
      </c>
      <c r="C136" s="14">
        <v>0</v>
      </c>
      <c r="D136" s="14">
        <v>0.02</v>
      </c>
      <c r="E136" s="16">
        <v>29.7</v>
      </c>
      <c r="F136" s="19">
        <f t="shared" si="2"/>
        <v>0.75719856028794219</v>
      </c>
    </row>
    <row r="137" spans="2:6" ht="14.25" x14ac:dyDescent="0.2">
      <c r="B137" s="14">
        <v>0.45</v>
      </c>
      <c r="C137" s="14">
        <v>0</v>
      </c>
      <c r="D137" s="14">
        <v>0.04</v>
      </c>
      <c r="E137" s="16">
        <v>31.3</v>
      </c>
      <c r="F137" s="19">
        <f t="shared" si="2"/>
        <v>0.7979904019196159</v>
      </c>
    </row>
    <row r="138" spans="2:6" ht="14.25" x14ac:dyDescent="0.2">
      <c r="B138" s="14">
        <v>0.45</v>
      </c>
      <c r="C138" s="14">
        <v>0</v>
      </c>
      <c r="D138" s="14">
        <v>0.06</v>
      </c>
      <c r="E138" s="16">
        <v>31.6</v>
      </c>
      <c r="F138" s="19">
        <f t="shared" si="2"/>
        <v>0.80563887222555475</v>
      </c>
    </row>
    <row r="139" spans="2:6" ht="14.25" x14ac:dyDescent="0.2">
      <c r="B139" s="14">
        <v>0.45</v>
      </c>
      <c r="C139" s="14">
        <v>0</v>
      </c>
      <c r="D139" s="14">
        <v>0.08</v>
      </c>
      <c r="E139" s="16">
        <v>30.6</v>
      </c>
      <c r="F139" s="19">
        <f t="shared" si="2"/>
        <v>0.78014397120575874</v>
      </c>
    </row>
    <row r="140" spans="2:6" ht="14.25" x14ac:dyDescent="0.2">
      <c r="B140" s="14">
        <v>0.45</v>
      </c>
      <c r="C140" s="14">
        <v>0</v>
      </c>
      <c r="D140" s="14">
        <v>0.1</v>
      </c>
      <c r="E140" s="16">
        <v>26.7</v>
      </c>
      <c r="F140" s="19">
        <f t="shared" si="2"/>
        <v>0.68071385722855415</v>
      </c>
    </row>
    <row r="141" spans="2:6" ht="14.25" x14ac:dyDescent="0.2">
      <c r="B141" s="14">
        <v>0.45</v>
      </c>
      <c r="C141" s="14">
        <v>0</v>
      </c>
      <c r="D141" s="14">
        <v>0.12</v>
      </c>
      <c r="E141" s="16">
        <v>19.899999999999999</v>
      </c>
      <c r="F141" s="19">
        <f t="shared" si="2"/>
        <v>0.507348530293941</v>
      </c>
    </row>
    <row r="142" spans="2:6" ht="14.25" x14ac:dyDescent="0.2">
      <c r="B142" s="14">
        <v>0.45</v>
      </c>
      <c r="C142" s="14">
        <v>0</v>
      </c>
      <c r="D142" s="14">
        <v>0.14000000000000001</v>
      </c>
      <c r="E142" s="16">
        <v>10.7</v>
      </c>
      <c r="F142" s="19">
        <f t="shared" si="2"/>
        <v>0.27279544091181757</v>
      </c>
    </row>
    <row r="143" spans="2:6" ht="14.25" x14ac:dyDescent="0.2">
      <c r="B143" s="14">
        <v>0.45</v>
      </c>
      <c r="C143" s="14">
        <v>0</v>
      </c>
      <c r="D143" s="14">
        <v>0.16</v>
      </c>
      <c r="E143" s="16">
        <v>3.7</v>
      </c>
      <c r="F143" s="19">
        <f t="shared" si="2"/>
        <v>9.4331133773245326E-2</v>
      </c>
    </row>
    <row r="144" spans="2:6" ht="14.25" x14ac:dyDescent="0.2">
      <c r="B144" s="14">
        <v>0.45</v>
      </c>
      <c r="C144" s="14">
        <v>0</v>
      </c>
      <c r="D144" s="14">
        <v>0.18</v>
      </c>
      <c r="E144" s="16">
        <v>1</v>
      </c>
      <c r="F144" s="19">
        <f t="shared" si="2"/>
        <v>2.5494901019796033E-2</v>
      </c>
    </row>
    <row r="145" spans="2:6" ht="14.25" x14ac:dyDescent="0.2">
      <c r="B145" s="14">
        <v>0.45</v>
      </c>
      <c r="C145" s="14">
        <v>0</v>
      </c>
      <c r="D145" s="14">
        <v>0.2</v>
      </c>
      <c r="E145" s="16">
        <v>0.3</v>
      </c>
      <c r="F145" s="19">
        <f t="shared" si="2"/>
        <v>7.64847030593881E-3</v>
      </c>
    </row>
    <row r="146" spans="2:6" ht="14.25" x14ac:dyDescent="0.2">
      <c r="B146" s="14">
        <v>0.6</v>
      </c>
      <c r="C146" s="14">
        <v>0</v>
      </c>
      <c r="D146" s="14">
        <v>0</v>
      </c>
      <c r="E146" s="16">
        <v>26.2</v>
      </c>
      <c r="F146" s="19">
        <f t="shared" si="2"/>
        <v>0.66796640671865604</v>
      </c>
    </row>
    <row r="147" spans="2:6" ht="14.25" x14ac:dyDescent="0.2">
      <c r="B147" s="14">
        <v>0.6</v>
      </c>
      <c r="C147" s="14">
        <v>0</v>
      </c>
      <c r="D147" s="14">
        <v>0.02</v>
      </c>
      <c r="E147" s="16">
        <v>25.2</v>
      </c>
      <c r="F147" s="19">
        <f t="shared" si="2"/>
        <v>0.64247150569886002</v>
      </c>
    </row>
    <row r="148" spans="2:6" ht="14.25" x14ac:dyDescent="0.2">
      <c r="B148" s="14">
        <v>0.6</v>
      </c>
      <c r="C148" s="14">
        <v>0</v>
      </c>
      <c r="D148" s="14">
        <v>0.04</v>
      </c>
      <c r="E148" s="16">
        <v>24.8</v>
      </c>
      <c r="F148" s="19">
        <f t="shared" si="2"/>
        <v>0.63227354529094171</v>
      </c>
    </row>
    <row r="149" spans="2:6" ht="14.25" x14ac:dyDescent="0.2">
      <c r="B149" s="14">
        <v>0.6</v>
      </c>
      <c r="C149" s="14">
        <v>0</v>
      </c>
      <c r="D149" s="14">
        <v>0.06</v>
      </c>
      <c r="E149" s="16">
        <v>24.2</v>
      </c>
      <c r="F149" s="19">
        <f t="shared" si="2"/>
        <v>0.61697660467906401</v>
      </c>
    </row>
    <row r="150" spans="2:6" ht="14.25" x14ac:dyDescent="0.2">
      <c r="B150" s="14">
        <v>0.6</v>
      </c>
      <c r="C150" s="14">
        <v>0</v>
      </c>
      <c r="D150" s="14">
        <v>0.08</v>
      </c>
      <c r="E150" s="16">
        <v>22.3</v>
      </c>
      <c r="F150" s="19">
        <f t="shared" si="2"/>
        <v>0.56853629274145157</v>
      </c>
    </row>
    <row r="151" spans="2:6" ht="14.25" x14ac:dyDescent="0.2">
      <c r="B151" s="14">
        <v>0.6</v>
      </c>
      <c r="C151" s="14">
        <v>0</v>
      </c>
      <c r="D151" s="14">
        <v>0.1</v>
      </c>
      <c r="E151" s="16">
        <v>18.399999999999999</v>
      </c>
      <c r="F151" s="19">
        <f t="shared" si="2"/>
        <v>0.46910617876424698</v>
      </c>
    </row>
    <row r="152" spans="2:6" ht="14.25" x14ac:dyDescent="0.2">
      <c r="B152" s="14">
        <v>0.6</v>
      </c>
      <c r="C152" s="14">
        <v>0</v>
      </c>
      <c r="D152" s="14">
        <v>0.12</v>
      </c>
      <c r="E152" s="16">
        <v>13.5</v>
      </c>
      <c r="F152" s="19">
        <f t="shared" si="2"/>
        <v>0.34418116376724645</v>
      </c>
    </row>
    <row r="153" spans="2:6" ht="14.25" x14ac:dyDescent="0.2">
      <c r="B153" s="14">
        <v>0.6</v>
      </c>
      <c r="C153" s="14">
        <v>0</v>
      </c>
      <c r="D153" s="14">
        <v>0.14000000000000001</v>
      </c>
      <c r="E153" s="16">
        <v>8</v>
      </c>
      <c r="F153" s="19">
        <f t="shared" si="2"/>
        <v>0.20395920815836827</v>
      </c>
    </row>
    <row r="154" spans="2:6" ht="14.25" x14ac:dyDescent="0.2">
      <c r="B154" s="14">
        <v>0.6</v>
      </c>
      <c r="C154" s="14">
        <v>0</v>
      </c>
      <c r="D154" s="14">
        <v>0.16</v>
      </c>
      <c r="E154" s="16">
        <v>3.8</v>
      </c>
      <c r="F154" s="19">
        <f t="shared" si="2"/>
        <v>9.6880623875224919E-2</v>
      </c>
    </row>
    <row r="155" spans="2:6" ht="14.25" x14ac:dyDescent="0.2">
      <c r="B155" s="14">
        <v>0.6</v>
      </c>
      <c r="C155" s="14">
        <v>0</v>
      </c>
      <c r="D155" s="14">
        <v>0.18</v>
      </c>
      <c r="E155" s="16">
        <v>1.1000000000000001</v>
      </c>
      <c r="F155" s="19">
        <f t="shared" si="2"/>
        <v>2.804439112177564E-2</v>
      </c>
    </row>
    <row r="156" spans="2:6" ht="14.25" x14ac:dyDescent="0.2">
      <c r="B156" s="14">
        <v>0.6</v>
      </c>
      <c r="C156" s="14">
        <v>0</v>
      </c>
      <c r="D156" s="14">
        <v>0.2</v>
      </c>
      <c r="E156" s="16">
        <v>0.3</v>
      </c>
      <c r="F156" s="19">
        <f t="shared" si="2"/>
        <v>7.64847030593881E-3</v>
      </c>
    </row>
    <row r="157" spans="2:6" ht="14.25" x14ac:dyDescent="0.2">
      <c r="B157" s="14">
        <v>0.9</v>
      </c>
      <c r="C157" s="14">
        <v>0</v>
      </c>
      <c r="D157" s="14">
        <v>0</v>
      </c>
      <c r="E157" s="16">
        <v>21</v>
      </c>
      <c r="F157" s="19">
        <f t="shared" si="2"/>
        <v>0.5353929214157167</v>
      </c>
    </row>
    <row r="158" spans="2:6" ht="14.25" x14ac:dyDescent="0.2">
      <c r="B158" s="14">
        <v>0.9</v>
      </c>
      <c r="C158" s="14">
        <v>0</v>
      </c>
      <c r="D158" s="14">
        <v>0.02</v>
      </c>
      <c r="E158" s="16">
        <v>19.2</v>
      </c>
      <c r="F158" s="19">
        <f t="shared" si="2"/>
        <v>0.48950209958008384</v>
      </c>
    </row>
    <row r="159" spans="2:6" ht="14.25" x14ac:dyDescent="0.2">
      <c r="B159" s="14">
        <v>0.9</v>
      </c>
      <c r="C159" s="14">
        <v>0</v>
      </c>
      <c r="D159" s="14">
        <v>0.04</v>
      </c>
      <c r="E159" s="16">
        <v>17.600000000000001</v>
      </c>
      <c r="F159" s="19">
        <f t="shared" si="2"/>
        <v>0.44871025794841024</v>
      </c>
    </row>
    <row r="160" spans="2:6" ht="14.25" x14ac:dyDescent="0.2">
      <c r="B160" s="14">
        <v>0.9</v>
      </c>
      <c r="C160" s="14">
        <v>0</v>
      </c>
      <c r="D160" s="14">
        <v>0.06</v>
      </c>
      <c r="E160" s="16">
        <v>16</v>
      </c>
      <c r="F160" s="19">
        <f t="shared" si="2"/>
        <v>0.40791841631673653</v>
      </c>
    </row>
    <row r="161" spans="2:6" ht="14.25" x14ac:dyDescent="0.2">
      <c r="B161" s="14">
        <v>0.9</v>
      </c>
      <c r="C161" s="14">
        <v>0</v>
      </c>
      <c r="D161" s="14">
        <v>0.08</v>
      </c>
      <c r="E161" s="16">
        <v>14.1</v>
      </c>
      <c r="F161" s="19">
        <f t="shared" si="2"/>
        <v>0.35947810437912409</v>
      </c>
    </row>
    <row r="162" spans="2:6" ht="14.25" x14ac:dyDescent="0.2">
      <c r="B162" s="14">
        <v>0.9</v>
      </c>
      <c r="C162" s="14">
        <v>0</v>
      </c>
      <c r="D162" s="14">
        <v>0.1</v>
      </c>
      <c r="E162" s="16">
        <v>11.4</v>
      </c>
      <c r="F162" s="19">
        <f t="shared" si="2"/>
        <v>0.29064187162567479</v>
      </c>
    </row>
    <row r="163" spans="2:6" ht="14.25" x14ac:dyDescent="0.2">
      <c r="B163" s="14">
        <v>0.9</v>
      </c>
      <c r="C163" s="14">
        <v>0</v>
      </c>
      <c r="D163" s="14">
        <v>0.12</v>
      </c>
      <c r="E163" s="16">
        <v>9</v>
      </c>
      <c r="F163" s="19">
        <f t="shared" si="2"/>
        <v>0.22945410917816431</v>
      </c>
    </row>
    <row r="164" spans="2:6" ht="14.25" x14ac:dyDescent="0.2">
      <c r="B164" s="14">
        <v>0.9</v>
      </c>
      <c r="C164" s="14">
        <v>0</v>
      </c>
      <c r="D164" s="14">
        <v>0.14000000000000001</v>
      </c>
      <c r="E164" s="16">
        <v>6.2</v>
      </c>
      <c r="F164" s="19">
        <f t="shared" si="2"/>
        <v>0.15806838632273543</v>
      </c>
    </row>
    <row r="165" spans="2:6" ht="14.25" x14ac:dyDescent="0.2">
      <c r="B165" s="14">
        <v>0.9</v>
      </c>
      <c r="C165" s="14">
        <v>0</v>
      </c>
      <c r="D165" s="14">
        <v>0.16</v>
      </c>
      <c r="E165" s="16">
        <v>3.7</v>
      </c>
      <c r="F165" s="19">
        <f t="shared" si="2"/>
        <v>9.4331133773245326E-2</v>
      </c>
    </row>
    <row r="166" spans="2:6" ht="14.25" x14ac:dyDescent="0.2">
      <c r="B166" s="14">
        <v>0.9</v>
      </c>
      <c r="C166" s="14">
        <v>0</v>
      </c>
      <c r="D166" s="14">
        <v>0.18</v>
      </c>
      <c r="E166" s="16">
        <v>1.9</v>
      </c>
      <c r="F166" s="19">
        <f t="shared" si="2"/>
        <v>4.844031193761246E-2</v>
      </c>
    </row>
    <row r="167" spans="2:6" ht="14.25" x14ac:dyDescent="0.2">
      <c r="B167" s="14">
        <v>0.9</v>
      </c>
      <c r="C167" s="14">
        <v>0</v>
      </c>
      <c r="D167" s="14">
        <v>0.2</v>
      </c>
      <c r="E167" s="16">
        <v>0.8</v>
      </c>
      <c r="F167" s="19">
        <f t="shared" si="2"/>
        <v>2.039592081583683E-2</v>
      </c>
    </row>
    <row r="168" spans="2:6" ht="14.25" x14ac:dyDescent="0.2">
      <c r="B168" s="14">
        <v>1.2</v>
      </c>
      <c r="C168" s="14">
        <v>0</v>
      </c>
      <c r="D168" s="14">
        <v>0</v>
      </c>
      <c r="E168" s="16">
        <v>17.7</v>
      </c>
      <c r="F168" s="19">
        <f t="shared" si="2"/>
        <v>0.45125974805038976</v>
      </c>
    </row>
    <row r="169" spans="2:6" ht="14.25" x14ac:dyDescent="0.2">
      <c r="B169" s="14">
        <v>1.2</v>
      </c>
      <c r="C169" s="14">
        <v>0</v>
      </c>
      <c r="D169" s="14">
        <v>0.02</v>
      </c>
      <c r="E169" s="16">
        <v>15.6</v>
      </c>
      <c r="F169" s="19">
        <f t="shared" si="2"/>
        <v>0.3977204559088181</v>
      </c>
    </row>
    <row r="170" spans="2:6" ht="14.25" x14ac:dyDescent="0.2">
      <c r="B170" s="14">
        <v>1.2</v>
      </c>
      <c r="C170" s="14">
        <v>0</v>
      </c>
      <c r="D170" s="14">
        <v>0.04</v>
      </c>
      <c r="E170" s="16">
        <v>13.8</v>
      </c>
      <c r="F170" s="19">
        <f t="shared" si="2"/>
        <v>0.35182963407318529</v>
      </c>
    </row>
    <row r="171" spans="2:6" ht="14.25" x14ac:dyDescent="0.2">
      <c r="B171" s="14">
        <v>1.2</v>
      </c>
      <c r="C171" s="14">
        <v>0</v>
      </c>
      <c r="D171" s="14">
        <v>0.06</v>
      </c>
      <c r="E171" s="16">
        <v>12</v>
      </c>
      <c r="F171" s="19">
        <f t="shared" si="2"/>
        <v>0.30593881223755243</v>
      </c>
    </row>
    <row r="172" spans="2:6" ht="14.25" x14ac:dyDescent="0.2">
      <c r="B172" s="14">
        <v>1.2</v>
      </c>
      <c r="C172" s="14">
        <v>0</v>
      </c>
      <c r="D172" s="14">
        <v>0.08</v>
      </c>
      <c r="E172" s="16">
        <v>10.199999999999999</v>
      </c>
      <c r="F172" s="19">
        <f t="shared" si="2"/>
        <v>0.26004799040191956</v>
      </c>
    </row>
    <row r="173" spans="2:6" ht="14.25" x14ac:dyDescent="0.2">
      <c r="B173" s="14">
        <v>1.2</v>
      </c>
      <c r="C173" s="14">
        <v>0</v>
      </c>
      <c r="D173" s="14">
        <v>0.1</v>
      </c>
      <c r="E173" s="16">
        <v>8.3000000000000007</v>
      </c>
      <c r="F173" s="19">
        <f t="shared" si="2"/>
        <v>0.21160767846430711</v>
      </c>
    </row>
    <row r="174" spans="2:6" ht="14.25" x14ac:dyDescent="0.2">
      <c r="B174" s="14">
        <v>1.2</v>
      </c>
      <c r="C174" s="14">
        <v>0</v>
      </c>
      <c r="D174" s="14">
        <v>0.12</v>
      </c>
      <c r="E174" s="16">
        <v>6.6</v>
      </c>
      <c r="F174" s="19">
        <f t="shared" si="2"/>
        <v>0.16826634673065383</v>
      </c>
    </row>
    <row r="175" spans="2:6" ht="14.25" x14ac:dyDescent="0.2">
      <c r="B175" s="14">
        <v>1.2</v>
      </c>
      <c r="C175" s="14">
        <v>0</v>
      </c>
      <c r="D175" s="14">
        <v>0.14000000000000001</v>
      </c>
      <c r="E175" s="16">
        <v>4.5999999999999996</v>
      </c>
      <c r="F175" s="19">
        <f t="shared" si="2"/>
        <v>0.11727654469106175</v>
      </c>
    </row>
    <row r="176" spans="2:6" ht="14.25" x14ac:dyDescent="0.2">
      <c r="B176" s="14">
        <v>1.2</v>
      </c>
      <c r="C176" s="14">
        <v>0</v>
      </c>
      <c r="D176" s="14">
        <v>0.16</v>
      </c>
      <c r="E176" s="16">
        <v>3.1</v>
      </c>
      <c r="F176" s="19">
        <f t="shared" si="2"/>
        <v>7.9034193161367713E-2</v>
      </c>
    </row>
    <row r="177" spans="2:6" ht="14.25" x14ac:dyDescent="0.2">
      <c r="B177" s="14">
        <v>1.2</v>
      </c>
      <c r="C177" s="14">
        <v>0</v>
      </c>
      <c r="D177" s="14">
        <v>0.18</v>
      </c>
      <c r="E177" s="16">
        <v>1.8</v>
      </c>
      <c r="F177" s="19">
        <f t="shared" si="2"/>
        <v>4.589082183563286E-2</v>
      </c>
    </row>
    <row r="178" spans="2:6" ht="14.25" x14ac:dyDescent="0.2">
      <c r="B178" s="14">
        <v>1.2</v>
      </c>
      <c r="C178" s="14">
        <v>0</v>
      </c>
      <c r="D178" s="14">
        <v>0.2</v>
      </c>
      <c r="E178" s="16">
        <v>1.1000000000000001</v>
      </c>
      <c r="F178" s="19">
        <f t="shared" si="2"/>
        <v>2.804439112177564E-2</v>
      </c>
    </row>
    <row r="179" spans="2:6" ht="14.25" x14ac:dyDescent="0.2">
      <c r="B179" s="14">
        <v>1.2</v>
      </c>
      <c r="C179" s="14">
        <v>0</v>
      </c>
      <c r="D179" s="14">
        <v>0.22</v>
      </c>
      <c r="E179" s="16">
        <v>0.7</v>
      </c>
      <c r="F179" s="19">
        <f t="shared" si="2"/>
        <v>1.7846430713857223E-2</v>
      </c>
    </row>
    <row r="180" spans="2:6" ht="14.25" x14ac:dyDescent="0.2">
      <c r="B180" s="14">
        <v>1.2</v>
      </c>
      <c r="C180" s="14">
        <v>0</v>
      </c>
      <c r="D180" s="14">
        <v>0.24</v>
      </c>
      <c r="E180" s="16">
        <v>0.5</v>
      </c>
      <c r="F180" s="19">
        <f t="shared" si="2"/>
        <v>1.2747450509898017E-2</v>
      </c>
    </row>
    <row r="181" spans="2:6" ht="14.25" x14ac:dyDescent="0.2">
      <c r="B181" s="14">
        <v>1.2</v>
      </c>
      <c r="C181" s="14">
        <v>0</v>
      </c>
      <c r="D181" s="14">
        <v>0.26</v>
      </c>
      <c r="E181" s="16">
        <v>0.3</v>
      </c>
      <c r="F181" s="19">
        <f t="shared" si="2"/>
        <v>7.64847030593881E-3</v>
      </c>
    </row>
    <row r="182" spans="2:6" ht="14.25" x14ac:dyDescent="0.2">
      <c r="B182" s="14">
        <v>1.2</v>
      </c>
      <c r="C182" s="14">
        <v>0</v>
      </c>
      <c r="D182" s="14">
        <v>0.28000000000000003</v>
      </c>
      <c r="E182" s="16">
        <v>0.2</v>
      </c>
      <c r="F182" s="19">
        <f t="shared" si="2"/>
        <v>5.0989802039592075E-3</v>
      </c>
    </row>
    <row r="183" spans="2:6" ht="14.25" x14ac:dyDescent="0.2">
      <c r="B183" s="14">
        <v>1.2</v>
      </c>
      <c r="C183" s="14">
        <v>0</v>
      </c>
      <c r="D183" s="14">
        <v>0.3</v>
      </c>
      <c r="E183" s="16">
        <v>0.2</v>
      </c>
      <c r="F183" s="19">
        <f t="shared" si="2"/>
        <v>5.0989802039592075E-3</v>
      </c>
    </row>
    <row r="184" spans="2:6" ht="14.25" x14ac:dyDescent="0.2">
      <c r="B184" s="14">
        <v>1.2</v>
      </c>
      <c r="C184" s="14">
        <v>0</v>
      </c>
      <c r="D184" s="14">
        <v>0.32</v>
      </c>
      <c r="E184" s="16">
        <v>0.1</v>
      </c>
      <c r="F184" s="19">
        <f t="shared" si="2"/>
        <v>2.5494901019796038E-3</v>
      </c>
    </row>
    <row r="185" spans="2:6" ht="14.25" x14ac:dyDescent="0.2">
      <c r="B185" s="14">
        <v>1.2</v>
      </c>
      <c r="C185" s="14">
        <v>0</v>
      </c>
      <c r="D185" s="14">
        <v>0.34</v>
      </c>
      <c r="E185" s="16">
        <v>0.2</v>
      </c>
      <c r="F185" s="19">
        <f t="shared" si="2"/>
        <v>5.0989802039592075E-3</v>
      </c>
    </row>
    <row r="186" spans="2:6" ht="14.25" x14ac:dyDescent="0.2">
      <c r="B186" s="14">
        <v>1.2</v>
      </c>
      <c r="C186" s="14">
        <v>0</v>
      </c>
      <c r="D186" s="14">
        <v>0.36</v>
      </c>
      <c r="E186" s="16">
        <v>0.2</v>
      </c>
      <c r="F186" s="19">
        <f t="shared" si="2"/>
        <v>5.0989802039592075E-3</v>
      </c>
    </row>
    <row r="187" spans="2:6" ht="14.25" x14ac:dyDescent="0.2">
      <c r="B187" s="14">
        <v>1.2</v>
      </c>
      <c r="C187" s="14">
        <v>0</v>
      </c>
      <c r="D187" s="14">
        <v>0.38</v>
      </c>
      <c r="E187" s="16">
        <v>0.2</v>
      </c>
      <c r="F187" s="19">
        <f t="shared" si="2"/>
        <v>5.0989802039592075E-3</v>
      </c>
    </row>
    <row r="188" spans="2:6" ht="14.25" x14ac:dyDescent="0.2">
      <c r="B188" s="14">
        <v>1.2</v>
      </c>
      <c r="C188" s="14">
        <v>0</v>
      </c>
      <c r="D188" s="14">
        <v>0.4</v>
      </c>
      <c r="E188" s="16">
        <v>0.2</v>
      </c>
      <c r="F188" s="19">
        <f t="shared" si="2"/>
        <v>5.0989802039592075E-3</v>
      </c>
    </row>
    <row r="189" spans="2:6" ht="14.25" x14ac:dyDescent="0.2">
      <c r="B189" s="14">
        <v>1.2</v>
      </c>
      <c r="C189" s="14">
        <v>0</v>
      </c>
      <c r="D189" s="14">
        <v>0.42</v>
      </c>
      <c r="E189" s="16">
        <v>0.2</v>
      </c>
      <c r="F189" s="19">
        <f t="shared" si="2"/>
        <v>5.0989802039592075E-3</v>
      </c>
    </row>
    <row r="190" spans="2:6" ht="14.25" x14ac:dyDescent="0.2">
      <c r="B190" s="14">
        <v>1.5</v>
      </c>
      <c r="C190" s="14">
        <v>0</v>
      </c>
      <c r="D190" s="14">
        <v>0</v>
      </c>
      <c r="E190" s="16">
        <v>14.6</v>
      </c>
      <c r="F190" s="19">
        <f t="shared" si="2"/>
        <v>0.37222555488902209</v>
      </c>
    </row>
    <row r="191" spans="2:6" ht="14.25" x14ac:dyDescent="0.2">
      <c r="B191" s="14">
        <v>1.5</v>
      </c>
      <c r="C191" s="14">
        <v>0</v>
      </c>
      <c r="D191" s="14">
        <v>0.02</v>
      </c>
      <c r="E191" s="16">
        <v>13.1</v>
      </c>
      <c r="F191" s="19">
        <f t="shared" si="2"/>
        <v>0.33398320335932802</v>
      </c>
    </row>
    <row r="192" spans="2:6" ht="14.25" x14ac:dyDescent="0.2">
      <c r="B192" s="14">
        <v>1.5</v>
      </c>
      <c r="C192" s="14">
        <v>0</v>
      </c>
      <c r="D192" s="14">
        <v>0.04</v>
      </c>
      <c r="E192" s="16">
        <v>11.4</v>
      </c>
      <c r="F192" s="19">
        <f t="shared" si="2"/>
        <v>0.29064187162567479</v>
      </c>
    </row>
    <row r="193" spans="2:6" ht="14.25" x14ac:dyDescent="0.2">
      <c r="B193" s="14">
        <v>1.5</v>
      </c>
      <c r="C193" s="14">
        <v>0</v>
      </c>
      <c r="D193" s="14">
        <v>0.06</v>
      </c>
      <c r="E193" s="16">
        <v>10</v>
      </c>
      <c r="F193" s="19">
        <f t="shared" si="2"/>
        <v>0.25494901019796035</v>
      </c>
    </row>
    <row r="194" spans="2:6" ht="14.25" x14ac:dyDescent="0.2">
      <c r="B194" s="14">
        <v>1.5</v>
      </c>
      <c r="C194" s="14">
        <v>0</v>
      </c>
      <c r="D194" s="14">
        <v>0.08</v>
      </c>
      <c r="E194" s="16">
        <v>8.1999999999999993</v>
      </c>
      <c r="F194" s="19">
        <f t="shared" si="2"/>
        <v>0.20905818836232745</v>
      </c>
    </row>
    <row r="195" spans="2:6" ht="14.25" x14ac:dyDescent="0.2">
      <c r="B195" s="14">
        <v>1.5</v>
      </c>
      <c r="C195" s="14">
        <v>0</v>
      </c>
      <c r="D195" s="14">
        <v>0.1</v>
      </c>
      <c r="E195" s="16">
        <v>6.7</v>
      </c>
      <c r="F195" s="19">
        <f t="shared" si="2"/>
        <v>0.17081583683263343</v>
      </c>
    </row>
    <row r="196" spans="2:6" ht="14.25" x14ac:dyDescent="0.2">
      <c r="B196" s="14">
        <v>1.5</v>
      </c>
      <c r="C196" s="14">
        <v>0</v>
      </c>
      <c r="D196" s="14">
        <v>0.12</v>
      </c>
      <c r="E196" s="16">
        <v>5.5</v>
      </c>
      <c r="F196" s="19">
        <f t="shared" ref="F196:F255" si="3">E196/$F$1</f>
        <v>0.14022195560887818</v>
      </c>
    </row>
    <row r="197" spans="2:6" ht="14.25" x14ac:dyDescent="0.2">
      <c r="B197" s="14">
        <v>1.5</v>
      </c>
      <c r="C197" s="14">
        <v>0</v>
      </c>
      <c r="D197" s="14">
        <v>0.14000000000000001</v>
      </c>
      <c r="E197" s="16">
        <v>4.2</v>
      </c>
      <c r="F197" s="19">
        <f t="shared" si="3"/>
        <v>0.10707858428314335</v>
      </c>
    </row>
    <row r="198" spans="2:6" ht="14.25" x14ac:dyDescent="0.2">
      <c r="B198" s="14">
        <v>1.5</v>
      </c>
      <c r="C198" s="14">
        <v>0</v>
      </c>
      <c r="D198" s="14">
        <v>0.16</v>
      </c>
      <c r="E198" s="16">
        <v>3</v>
      </c>
      <c r="F198" s="19">
        <f t="shared" si="3"/>
        <v>7.6484703059388107E-2</v>
      </c>
    </row>
    <row r="199" spans="2:6" ht="14.25" x14ac:dyDescent="0.2">
      <c r="B199" s="14">
        <v>1.5</v>
      </c>
      <c r="C199" s="14">
        <v>0</v>
      </c>
      <c r="D199" s="14">
        <v>0.18</v>
      </c>
      <c r="E199" s="16">
        <v>1.8</v>
      </c>
      <c r="F199" s="19">
        <f t="shared" si="3"/>
        <v>4.589082183563286E-2</v>
      </c>
    </row>
    <row r="200" spans="2:6" ht="14.25" x14ac:dyDescent="0.2">
      <c r="B200" s="14">
        <v>1.5</v>
      </c>
      <c r="C200" s="14">
        <v>0</v>
      </c>
      <c r="D200" s="14">
        <v>0.2</v>
      </c>
      <c r="E200" s="16">
        <v>1.1000000000000001</v>
      </c>
      <c r="F200" s="19">
        <f t="shared" si="3"/>
        <v>2.804439112177564E-2</v>
      </c>
    </row>
    <row r="201" spans="2:6" ht="14.25" x14ac:dyDescent="0.2">
      <c r="B201" s="14">
        <v>1.5</v>
      </c>
      <c r="C201" s="14">
        <v>0</v>
      </c>
      <c r="D201" s="14">
        <v>0.22</v>
      </c>
      <c r="E201" s="16">
        <v>0.7</v>
      </c>
      <c r="F201" s="19">
        <f t="shared" si="3"/>
        <v>1.7846430713857223E-2</v>
      </c>
    </row>
    <row r="202" spans="2:6" ht="14.25" x14ac:dyDescent="0.2">
      <c r="B202" s="14">
        <v>1.5</v>
      </c>
      <c r="C202" s="14">
        <v>0</v>
      </c>
      <c r="D202" s="14">
        <v>0.24</v>
      </c>
      <c r="E202" s="16">
        <v>0.5</v>
      </c>
      <c r="F202" s="19">
        <f t="shared" si="3"/>
        <v>1.2747450509898017E-2</v>
      </c>
    </row>
    <row r="203" spans="2:6" ht="14.25" x14ac:dyDescent="0.2">
      <c r="B203" s="14">
        <v>1.5</v>
      </c>
      <c r="C203" s="14">
        <v>0</v>
      </c>
      <c r="D203" s="14">
        <v>0.26</v>
      </c>
      <c r="E203" s="16">
        <v>0.3</v>
      </c>
      <c r="F203" s="19">
        <f t="shared" si="3"/>
        <v>7.64847030593881E-3</v>
      </c>
    </row>
    <row r="204" spans="2:6" ht="14.25" x14ac:dyDescent="0.2">
      <c r="B204" s="14">
        <v>1.5</v>
      </c>
      <c r="C204" s="14">
        <v>0</v>
      </c>
      <c r="D204" s="14">
        <v>0.28000000000000003</v>
      </c>
      <c r="E204" s="16">
        <v>0.2</v>
      </c>
      <c r="F204" s="19">
        <f t="shared" si="3"/>
        <v>5.0989802039592075E-3</v>
      </c>
    </row>
    <row r="205" spans="2:6" ht="14.25" x14ac:dyDescent="0.2">
      <c r="B205" s="14">
        <v>1.5</v>
      </c>
      <c r="C205" s="14">
        <v>0</v>
      </c>
      <c r="D205" s="14">
        <v>0.3</v>
      </c>
      <c r="E205" s="16">
        <v>0.1</v>
      </c>
      <c r="F205" s="19">
        <f t="shared" si="3"/>
        <v>2.5494901019796038E-3</v>
      </c>
    </row>
    <row r="206" spans="2:6" ht="14.25" x14ac:dyDescent="0.2">
      <c r="B206" s="14">
        <v>1.5</v>
      </c>
      <c r="C206" s="14">
        <v>0</v>
      </c>
      <c r="D206" s="14">
        <v>0.32</v>
      </c>
      <c r="E206" s="16">
        <v>0.1</v>
      </c>
      <c r="F206" s="19">
        <f t="shared" si="3"/>
        <v>2.5494901019796038E-3</v>
      </c>
    </row>
    <row r="207" spans="2:6" ht="14.25" x14ac:dyDescent="0.2">
      <c r="B207" s="14">
        <v>1.5</v>
      </c>
      <c r="C207" s="14">
        <v>0</v>
      </c>
      <c r="D207" s="14">
        <v>0.34</v>
      </c>
      <c r="E207" s="16">
        <v>0.2</v>
      </c>
      <c r="F207" s="19">
        <f t="shared" si="3"/>
        <v>5.0989802039592075E-3</v>
      </c>
    </row>
    <row r="208" spans="2:6" ht="14.25" x14ac:dyDescent="0.2">
      <c r="B208" s="14">
        <v>1.5</v>
      </c>
      <c r="C208" s="14">
        <v>0</v>
      </c>
      <c r="D208" s="14">
        <v>0.36</v>
      </c>
      <c r="E208" s="16">
        <v>0.2</v>
      </c>
      <c r="F208" s="19">
        <f t="shared" si="3"/>
        <v>5.0989802039592075E-3</v>
      </c>
    </row>
    <row r="209" spans="2:6" ht="14.25" x14ac:dyDescent="0.2">
      <c r="B209" s="14">
        <v>1.5</v>
      </c>
      <c r="C209" s="14">
        <v>0</v>
      </c>
      <c r="D209" s="14">
        <v>0.38</v>
      </c>
      <c r="E209" s="16">
        <v>0.2</v>
      </c>
      <c r="F209" s="19">
        <f t="shared" si="3"/>
        <v>5.0989802039592075E-3</v>
      </c>
    </row>
    <row r="210" spans="2:6" ht="14.25" x14ac:dyDescent="0.2">
      <c r="B210" s="14">
        <v>1.5</v>
      </c>
      <c r="C210" s="14">
        <v>0</v>
      </c>
      <c r="D210" s="14">
        <v>0.4</v>
      </c>
      <c r="E210" s="16">
        <v>0.1</v>
      </c>
      <c r="F210" s="19">
        <f t="shared" si="3"/>
        <v>2.5494901019796038E-3</v>
      </c>
    </row>
    <row r="211" spans="2:6" ht="14.25" x14ac:dyDescent="0.2">
      <c r="B211" s="14">
        <v>1.5</v>
      </c>
      <c r="C211" s="14">
        <v>0</v>
      </c>
      <c r="D211" s="14">
        <v>0.42</v>
      </c>
      <c r="E211" s="16">
        <v>0.1</v>
      </c>
      <c r="F211" s="19">
        <f t="shared" si="3"/>
        <v>2.5494901019796038E-3</v>
      </c>
    </row>
    <row r="212" spans="2:6" ht="14.25" x14ac:dyDescent="0.2">
      <c r="B212" s="14">
        <v>2.1</v>
      </c>
      <c r="C212" s="14">
        <v>0</v>
      </c>
      <c r="D212" s="14">
        <v>0</v>
      </c>
      <c r="E212" s="16">
        <v>10.9</v>
      </c>
      <c r="F212" s="19">
        <f t="shared" si="3"/>
        <v>0.27789442111577678</v>
      </c>
    </row>
    <row r="213" spans="2:6" ht="14.25" x14ac:dyDescent="0.2">
      <c r="B213" s="14">
        <v>2.1</v>
      </c>
      <c r="C213" s="14">
        <v>0</v>
      </c>
      <c r="D213" s="14">
        <v>0.02</v>
      </c>
      <c r="E213" s="16">
        <v>10</v>
      </c>
      <c r="F213" s="19">
        <f t="shared" si="3"/>
        <v>0.25494901019796035</v>
      </c>
    </row>
    <row r="214" spans="2:6" ht="14.25" x14ac:dyDescent="0.2">
      <c r="B214" s="14">
        <v>2.1</v>
      </c>
      <c r="C214" s="14">
        <v>0</v>
      </c>
      <c r="D214" s="14">
        <v>0.04</v>
      </c>
      <c r="E214" s="16">
        <v>8.6</v>
      </c>
      <c r="F214" s="19">
        <f t="shared" si="3"/>
        <v>0.21925614877024588</v>
      </c>
    </row>
    <row r="215" spans="2:6" ht="14.25" x14ac:dyDescent="0.2">
      <c r="B215" s="14">
        <v>2.1</v>
      </c>
      <c r="C215" s="14">
        <v>0</v>
      </c>
      <c r="D215" s="14">
        <v>0.06</v>
      </c>
      <c r="E215" s="16">
        <v>7.5</v>
      </c>
      <c r="F215" s="19">
        <f t="shared" si="3"/>
        <v>0.19121175764847026</v>
      </c>
    </row>
    <row r="216" spans="2:6" ht="14.25" x14ac:dyDescent="0.2">
      <c r="B216" s="14">
        <v>2.1</v>
      </c>
      <c r="C216" s="14">
        <v>0</v>
      </c>
      <c r="D216" s="14">
        <v>0.08</v>
      </c>
      <c r="E216" s="16">
        <v>6.3</v>
      </c>
      <c r="F216" s="19">
        <f t="shared" si="3"/>
        <v>0.16061787642471501</v>
      </c>
    </row>
    <row r="217" spans="2:6" ht="14.25" x14ac:dyDescent="0.2">
      <c r="B217" s="14">
        <v>2.1</v>
      </c>
      <c r="C217" s="14">
        <v>0</v>
      </c>
      <c r="D217" s="14">
        <v>0.1</v>
      </c>
      <c r="E217" s="16">
        <v>5.2</v>
      </c>
      <c r="F217" s="19">
        <f t="shared" si="3"/>
        <v>0.13257348530293939</v>
      </c>
    </row>
    <row r="218" spans="2:6" ht="14.25" x14ac:dyDescent="0.2">
      <c r="B218" s="14">
        <v>2.1</v>
      </c>
      <c r="C218" s="14">
        <v>0</v>
      </c>
      <c r="D218" s="14">
        <v>0.12</v>
      </c>
      <c r="E218" s="16">
        <v>4.5</v>
      </c>
      <c r="F218" s="19">
        <f t="shared" si="3"/>
        <v>0.11472705458908215</v>
      </c>
    </row>
    <row r="219" spans="2:6" ht="14.25" x14ac:dyDescent="0.2">
      <c r="B219" s="14">
        <v>2.1</v>
      </c>
      <c r="C219" s="14">
        <v>0</v>
      </c>
      <c r="D219" s="14">
        <v>0.14000000000000001</v>
      </c>
      <c r="E219" s="16">
        <v>3.6</v>
      </c>
      <c r="F219" s="19">
        <f t="shared" si="3"/>
        <v>9.178164367126572E-2</v>
      </c>
    </row>
    <row r="220" spans="2:6" ht="14.25" x14ac:dyDescent="0.2">
      <c r="B220" s="14">
        <v>2.1</v>
      </c>
      <c r="C220" s="14">
        <v>0</v>
      </c>
      <c r="D220" s="14">
        <v>0.16</v>
      </c>
      <c r="E220" s="16">
        <v>2.8</v>
      </c>
      <c r="F220" s="19">
        <f t="shared" si="3"/>
        <v>7.1385722855428893E-2</v>
      </c>
    </row>
    <row r="221" spans="2:6" ht="14.25" x14ac:dyDescent="0.2">
      <c r="B221" s="14">
        <v>2.1</v>
      </c>
      <c r="C221" s="14">
        <v>0</v>
      </c>
      <c r="D221" s="14">
        <v>0.18</v>
      </c>
      <c r="E221" s="16">
        <v>1.9</v>
      </c>
      <c r="F221" s="19">
        <f t="shared" si="3"/>
        <v>4.844031193761246E-2</v>
      </c>
    </row>
    <row r="222" spans="2:6" ht="14.25" x14ac:dyDescent="0.2">
      <c r="B222" s="14">
        <v>2.1</v>
      </c>
      <c r="C222" s="14">
        <v>0</v>
      </c>
      <c r="D222" s="14">
        <v>0.2</v>
      </c>
      <c r="E222" s="16">
        <v>1.4</v>
      </c>
      <c r="F222" s="19">
        <f t="shared" si="3"/>
        <v>3.5692861427714447E-2</v>
      </c>
    </row>
    <row r="223" spans="2:6" ht="14.25" x14ac:dyDescent="0.2">
      <c r="B223" s="14">
        <v>2.1</v>
      </c>
      <c r="C223" s="14">
        <v>0</v>
      </c>
      <c r="D223" s="14">
        <v>0.22</v>
      </c>
      <c r="E223" s="16">
        <v>0.8</v>
      </c>
      <c r="F223" s="19">
        <f t="shared" si="3"/>
        <v>2.039592081583683E-2</v>
      </c>
    </row>
    <row r="224" spans="2:6" ht="14.25" x14ac:dyDescent="0.2">
      <c r="B224" s="14">
        <v>2.1</v>
      </c>
      <c r="C224" s="14">
        <v>0</v>
      </c>
      <c r="D224" s="14">
        <v>0.24</v>
      </c>
      <c r="E224" s="16">
        <v>0.7</v>
      </c>
      <c r="F224" s="19">
        <f t="shared" si="3"/>
        <v>1.7846430713857223E-2</v>
      </c>
    </row>
    <row r="225" spans="2:6" ht="14.25" x14ac:dyDescent="0.2">
      <c r="B225" s="14">
        <v>2.1</v>
      </c>
      <c r="C225" s="14">
        <v>0</v>
      </c>
      <c r="D225" s="14">
        <v>0.26</v>
      </c>
      <c r="E225" s="16">
        <v>0.5</v>
      </c>
      <c r="F225" s="19">
        <f t="shared" si="3"/>
        <v>1.2747450509898017E-2</v>
      </c>
    </row>
    <row r="226" spans="2:6" ht="14.25" x14ac:dyDescent="0.2">
      <c r="B226" s="14">
        <v>2.1</v>
      </c>
      <c r="C226" s="14">
        <v>0</v>
      </c>
      <c r="D226" s="14">
        <v>0.28000000000000003</v>
      </c>
      <c r="E226" s="16">
        <v>0.3</v>
      </c>
      <c r="F226" s="19">
        <f t="shared" si="3"/>
        <v>7.64847030593881E-3</v>
      </c>
    </row>
    <row r="227" spans="2:6" ht="14.25" x14ac:dyDescent="0.2">
      <c r="B227" s="14">
        <v>2.1</v>
      </c>
      <c r="C227" s="14">
        <v>0</v>
      </c>
      <c r="D227" s="14">
        <v>0.3</v>
      </c>
      <c r="E227" s="16">
        <v>0.2</v>
      </c>
      <c r="F227" s="19">
        <f t="shared" si="3"/>
        <v>5.0989802039592075E-3</v>
      </c>
    </row>
    <row r="228" spans="2:6" ht="14.25" x14ac:dyDescent="0.2">
      <c r="B228" s="14">
        <v>2.1</v>
      </c>
      <c r="C228" s="14">
        <v>0</v>
      </c>
      <c r="D228" s="14">
        <v>0.32</v>
      </c>
      <c r="E228" s="16">
        <v>0.1</v>
      </c>
      <c r="F228" s="19">
        <f t="shared" si="3"/>
        <v>2.5494901019796038E-3</v>
      </c>
    </row>
    <row r="229" spans="2:6" ht="14.25" x14ac:dyDescent="0.2">
      <c r="B229" s="14">
        <v>2.1</v>
      </c>
      <c r="C229" s="14">
        <v>0</v>
      </c>
      <c r="D229" s="14">
        <v>0.34</v>
      </c>
      <c r="E229" s="16">
        <v>0.2</v>
      </c>
      <c r="F229" s="19">
        <f t="shared" si="3"/>
        <v>5.0989802039592075E-3</v>
      </c>
    </row>
    <row r="230" spans="2:6" ht="14.25" x14ac:dyDescent="0.2">
      <c r="B230" s="14">
        <v>2.1</v>
      </c>
      <c r="C230" s="14">
        <v>0</v>
      </c>
      <c r="D230" s="14">
        <v>0.36</v>
      </c>
      <c r="E230" s="16">
        <v>0.2</v>
      </c>
      <c r="F230" s="19">
        <f t="shared" si="3"/>
        <v>5.0989802039592075E-3</v>
      </c>
    </row>
    <row r="231" spans="2:6" ht="14.25" x14ac:dyDescent="0.2">
      <c r="B231" s="14">
        <v>2.1</v>
      </c>
      <c r="C231" s="14">
        <v>0</v>
      </c>
      <c r="D231" s="14">
        <v>0.38</v>
      </c>
      <c r="E231" s="16">
        <v>0.2</v>
      </c>
      <c r="F231" s="19">
        <f t="shared" si="3"/>
        <v>5.0989802039592075E-3</v>
      </c>
    </row>
    <row r="232" spans="2:6" ht="14.25" x14ac:dyDescent="0.2">
      <c r="B232" s="14">
        <v>2.1</v>
      </c>
      <c r="C232" s="14">
        <v>0</v>
      </c>
      <c r="D232" s="14">
        <v>0.4</v>
      </c>
      <c r="E232" s="16">
        <v>0.1</v>
      </c>
      <c r="F232" s="19">
        <f t="shared" si="3"/>
        <v>2.5494901019796038E-3</v>
      </c>
    </row>
    <row r="233" spans="2:6" ht="14.25" x14ac:dyDescent="0.2">
      <c r="B233" s="14">
        <v>2.1</v>
      </c>
      <c r="C233" s="14">
        <v>0</v>
      </c>
      <c r="D233" s="14">
        <v>0.42</v>
      </c>
      <c r="E233" s="16">
        <v>0.1</v>
      </c>
      <c r="F233" s="19">
        <f t="shared" si="3"/>
        <v>2.5494901019796038E-3</v>
      </c>
    </row>
    <row r="234" spans="2:6" ht="14.25" x14ac:dyDescent="0.2">
      <c r="B234" s="14">
        <v>2.7</v>
      </c>
      <c r="C234" s="14">
        <v>0</v>
      </c>
      <c r="D234" s="14">
        <v>0</v>
      </c>
      <c r="E234" s="16">
        <v>8.9</v>
      </c>
      <c r="F234" s="19">
        <f t="shared" si="3"/>
        <v>0.22690461907618473</v>
      </c>
    </row>
    <row r="235" spans="2:6" ht="14.25" x14ac:dyDescent="0.2">
      <c r="B235" s="14">
        <v>2.7</v>
      </c>
      <c r="C235" s="14">
        <v>0</v>
      </c>
      <c r="D235" s="14">
        <v>0.02</v>
      </c>
      <c r="E235" s="16">
        <v>8.1999999999999993</v>
      </c>
      <c r="F235" s="19">
        <f t="shared" si="3"/>
        <v>0.20905818836232745</v>
      </c>
    </row>
    <row r="236" spans="2:6" ht="14.25" x14ac:dyDescent="0.2">
      <c r="B236" s="14">
        <v>2.7</v>
      </c>
      <c r="C236" s="14">
        <v>0</v>
      </c>
      <c r="D236" s="14">
        <v>0.04</v>
      </c>
      <c r="E236" s="16">
        <v>7.2</v>
      </c>
      <c r="F236" s="19">
        <f t="shared" si="3"/>
        <v>0.18356328734253144</v>
      </c>
    </row>
    <row r="237" spans="2:6" ht="14.25" x14ac:dyDescent="0.2">
      <c r="B237" s="14">
        <v>2.7</v>
      </c>
      <c r="C237" s="14">
        <v>0</v>
      </c>
      <c r="D237" s="14">
        <v>0.06</v>
      </c>
      <c r="E237" s="16">
        <v>6.3</v>
      </c>
      <c r="F237" s="19">
        <f t="shared" si="3"/>
        <v>0.16061787642471501</v>
      </c>
    </row>
    <row r="238" spans="2:6" ht="14.25" x14ac:dyDescent="0.2">
      <c r="B238" s="14">
        <v>2.7</v>
      </c>
      <c r="C238" s="14">
        <v>0</v>
      </c>
      <c r="D238" s="14">
        <v>0.08</v>
      </c>
      <c r="E238" s="16">
        <v>5.3</v>
      </c>
      <c r="F238" s="19">
        <f t="shared" si="3"/>
        <v>0.13512297540491897</v>
      </c>
    </row>
    <row r="239" spans="2:6" ht="14.25" x14ac:dyDescent="0.2">
      <c r="B239" s="14">
        <v>2.7</v>
      </c>
      <c r="C239" s="14">
        <v>0</v>
      </c>
      <c r="D239" s="14">
        <v>0.1</v>
      </c>
      <c r="E239" s="16">
        <v>4.4000000000000004</v>
      </c>
      <c r="F239" s="19">
        <f t="shared" si="3"/>
        <v>0.11217756448710256</v>
      </c>
    </row>
    <row r="240" spans="2:6" ht="14.25" x14ac:dyDescent="0.2">
      <c r="B240" s="14">
        <v>2.7</v>
      </c>
      <c r="C240" s="14">
        <v>0</v>
      </c>
      <c r="D240" s="14">
        <v>0.12</v>
      </c>
      <c r="E240" s="16">
        <v>3.9</v>
      </c>
      <c r="F240" s="19">
        <f t="shared" si="3"/>
        <v>9.9430113977204526E-2</v>
      </c>
    </row>
    <row r="241" spans="1:7" ht="14.25" x14ac:dyDescent="0.2">
      <c r="B241" s="14">
        <v>2.7</v>
      </c>
      <c r="C241" s="14">
        <v>0</v>
      </c>
      <c r="D241" s="14">
        <v>0.14000000000000001</v>
      </c>
      <c r="E241" s="16">
        <v>3.1</v>
      </c>
      <c r="F241" s="19">
        <f t="shared" si="3"/>
        <v>7.9034193161367713E-2</v>
      </c>
    </row>
    <row r="242" spans="1:7" ht="14.25" x14ac:dyDescent="0.2">
      <c r="B242" s="14">
        <v>2.7</v>
      </c>
      <c r="C242" s="14">
        <v>0</v>
      </c>
      <c r="D242" s="14">
        <v>0.16</v>
      </c>
      <c r="E242" s="16">
        <v>2.6</v>
      </c>
      <c r="F242" s="19">
        <f t="shared" si="3"/>
        <v>6.6286742651469693E-2</v>
      </c>
    </row>
    <row r="243" spans="1:7" ht="14.25" x14ac:dyDescent="0.2">
      <c r="B243" s="14">
        <v>2.7</v>
      </c>
      <c r="C243" s="14">
        <v>0</v>
      </c>
      <c r="D243" s="14">
        <v>0.18</v>
      </c>
      <c r="E243" s="16">
        <v>1.9</v>
      </c>
      <c r="F243" s="19">
        <f t="shared" si="3"/>
        <v>4.844031193761246E-2</v>
      </c>
    </row>
    <row r="244" spans="1:7" ht="14.25" x14ac:dyDescent="0.2">
      <c r="B244" s="14">
        <v>2.7</v>
      </c>
      <c r="C244" s="14">
        <v>0</v>
      </c>
      <c r="D244" s="14">
        <v>0.2</v>
      </c>
      <c r="E244" s="16">
        <v>1.5</v>
      </c>
      <c r="F244" s="19">
        <f t="shared" si="3"/>
        <v>3.8242351529694053E-2</v>
      </c>
    </row>
    <row r="245" spans="1:7" ht="14.25" x14ac:dyDescent="0.2">
      <c r="B245" s="14">
        <v>2.7</v>
      </c>
      <c r="C245" s="14">
        <v>0</v>
      </c>
      <c r="D245" s="14">
        <v>0.22</v>
      </c>
      <c r="E245" s="16">
        <v>1.1000000000000001</v>
      </c>
      <c r="F245" s="19">
        <f t="shared" si="3"/>
        <v>2.804439112177564E-2</v>
      </c>
    </row>
    <row r="246" spans="1:7" ht="14.25" x14ac:dyDescent="0.2">
      <c r="B246" s="14">
        <v>2.7</v>
      </c>
      <c r="C246" s="14">
        <v>0</v>
      </c>
      <c r="D246" s="14">
        <v>0.24</v>
      </c>
      <c r="E246" s="16">
        <v>0.9</v>
      </c>
      <c r="F246" s="19">
        <f t="shared" si="3"/>
        <v>2.294541091781643E-2</v>
      </c>
    </row>
    <row r="247" spans="1:7" ht="14.25" x14ac:dyDescent="0.2">
      <c r="B247" s="14">
        <v>2.7</v>
      </c>
      <c r="C247" s="14">
        <v>0</v>
      </c>
      <c r="D247" s="14">
        <v>0.26</v>
      </c>
      <c r="E247" s="16">
        <v>0.6</v>
      </c>
      <c r="F247" s="19">
        <f t="shared" si="3"/>
        <v>1.529694061187762E-2</v>
      </c>
    </row>
    <row r="248" spans="1:7" ht="14.25" x14ac:dyDescent="0.2">
      <c r="B248" s="14">
        <v>2.7</v>
      </c>
      <c r="C248" s="14">
        <v>0</v>
      </c>
      <c r="D248" s="14">
        <v>0.28000000000000003</v>
      </c>
      <c r="E248" s="16">
        <v>0.4</v>
      </c>
      <c r="F248" s="19">
        <f t="shared" si="3"/>
        <v>1.0197960407918415E-2</v>
      </c>
    </row>
    <row r="249" spans="1:7" ht="14.25" x14ac:dyDescent="0.2">
      <c r="B249" s="14">
        <v>2.7</v>
      </c>
      <c r="C249" s="14">
        <v>0</v>
      </c>
      <c r="D249" s="14">
        <v>0.3</v>
      </c>
      <c r="E249" s="16">
        <v>0.3</v>
      </c>
      <c r="F249" s="19">
        <f t="shared" si="3"/>
        <v>7.64847030593881E-3</v>
      </c>
    </row>
    <row r="250" spans="1:7" ht="14.25" x14ac:dyDescent="0.2">
      <c r="B250" s="14">
        <v>2.7</v>
      </c>
      <c r="C250" s="14">
        <v>0</v>
      </c>
      <c r="D250" s="14">
        <v>0.32</v>
      </c>
      <c r="E250" s="16">
        <v>0.2</v>
      </c>
      <c r="F250" s="19">
        <f t="shared" si="3"/>
        <v>5.0989802039592075E-3</v>
      </c>
    </row>
    <row r="251" spans="1:7" ht="14.25" x14ac:dyDescent="0.2">
      <c r="B251" s="14">
        <v>2.7</v>
      </c>
      <c r="C251" s="14">
        <v>0</v>
      </c>
      <c r="D251" s="14">
        <v>0.34</v>
      </c>
      <c r="E251" s="16">
        <v>0.3</v>
      </c>
      <c r="F251" s="19">
        <f t="shared" si="3"/>
        <v>7.64847030593881E-3</v>
      </c>
    </row>
    <row r="252" spans="1:7" ht="14.25" x14ac:dyDescent="0.2">
      <c r="B252" s="14">
        <v>2.7</v>
      </c>
      <c r="C252" s="14">
        <v>0</v>
      </c>
      <c r="D252" s="14">
        <v>0.36</v>
      </c>
      <c r="E252" s="16">
        <v>0.3</v>
      </c>
      <c r="F252" s="19">
        <f t="shared" si="3"/>
        <v>7.64847030593881E-3</v>
      </c>
    </row>
    <row r="253" spans="1:7" ht="14.25" x14ac:dyDescent="0.2">
      <c r="B253" s="14">
        <v>2.7</v>
      </c>
      <c r="C253" s="14">
        <v>0</v>
      </c>
      <c r="D253" s="14">
        <v>0.38</v>
      </c>
      <c r="E253" s="16">
        <v>0.2</v>
      </c>
      <c r="F253" s="19">
        <f t="shared" si="3"/>
        <v>5.0989802039592075E-3</v>
      </c>
    </row>
    <row r="254" spans="1:7" ht="14.25" x14ac:dyDescent="0.2">
      <c r="B254" s="14">
        <v>2.7</v>
      </c>
      <c r="C254" s="14">
        <v>0</v>
      </c>
      <c r="D254" s="14">
        <v>0.4</v>
      </c>
      <c r="E254" s="16">
        <v>0.2</v>
      </c>
      <c r="F254" s="19">
        <f t="shared" si="3"/>
        <v>5.0989802039592075E-3</v>
      </c>
    </row>
    <row r="255" spans="1:7" ht="14.25" x14ac:dyDescent="0.2">
      <c r="B255" s="14">
        <v>2.7</v>
      </c>
      <c r="C255" s="14">
        <v>0</v>
      </c>
      <c r="D255" s="14">
        <v>0.42</v>
      </c>
      <c r="E255" s="16">
        <v>0.2</v>
      </c>
      <c r="F255" s="19">
        <f t="shared" si="3"/>
        <v>5.0989802039592075E-3</v>
      </c>
    </row>
    <row r="256" spans="1:7" x14ac:dyDescent="0.15">
      <c r="A256" t="s">
        <v>34</v>
      </c>
      <c r="B256" s="11" t="s">
        <v>21</v>
      </c>
      <c r="C256" s="11" t="s">
        <v>22</v>
      </c>
      <c r="D256" s="11" t="s">
        <v>26</v>
      </c>
      <c r="E256" s="11" t="s">
        <v>23</v>
      </c>
      <c r="F256" s="12" t="s">
        <v>20</v>
      </c>
      <c r="G256" s="13"/>
    </row>
    <row r="257" spans="2:7" ht="14.25" x14ac:dyDescent="0.2">
      <c r="B257" s="14">
        <v>6.5000000000000002E-2</v>
      </c>
      <c r="C257" s="15">
        <v>-0.2</v>
      </c>
      <c r="D257" s="14">
        <v>0</v>
      </c>
      <c r="E257" s="16">
        <v>0.5</v>
      </c>
      <c r="F257" s="17">
        <f>E257/$F$1</f>
        <v>1.2747450509898017E-2</v>
      </c>
      <c r="G257" s="13"/>
    </row>
    <row r="258" spans="2:7" ht="14.25" x14ac:dyDescent="0.2">
      <c r="B258" s="14">
        <v>6.5000000000000002E-2</v>
      </c>
      <c r="C258" s="15">
        <v>-0.18</v>
      </c>
      <c r="D258" s="14">
        <v>0</v>
      </c>
      <c r="E258" s="16">
        <v>0.4</v>
      </c>
      <c r="F258" s="17">
        <f t="shared" ref="F258:F321" si="4">E258/$F$1</f>
        <v>1.0197960407918415E-2</v>
      </c>
      <c r="G258" s="13"/>
    </row>
    <row r="259" spans="2:7" ht="14.25" x14ac:dyDescent="0.2">
      <c r="B259" s="14">
        <v>6.5000000000000002E-2</v>
      </c>
      <c r="C259" s="15">
        <v>-0.16</v>
      </c>
      <c r="D259" s="14">
        <v>0</v>
      </c>
      <c r="E259" s="16">
        <v>0.6</v>
      </c>
      <c r="F259" s="17">
        <f t="shared" si="4"/>
        <v>1.529694061187762E-2</v>
      </c>
      <c r="G259" s="13"/>
    </row>
    <row r="260" spans="2:7" ht="14.25" x14ac:dyDescent="0.2">
      <c r="B260" s="14">
        <v>6.5000000000000002E-2</v>
      </c>
      <c r="C260" s="15">
        <v>-0.14000000000000001</v>
      </c>
      <c r="D260" s="14">
        <v>0</v>
      </c>
      <c r="E260" s="16">
        <v>0.6</v>
      </c>
      <c r="F260" s="17">
        <f t="shared" si="4"/>
        <v>1.529694061187762E-2</v>
      </c>
      <c r="G260" s="13"/>
    </row>
    <row r="261" spans="2:7" ht="14.25" x14ac:dyDescent="0.2">
      <c r="B261" s="14">
        <v>6.5000000000000002E-2</v>
      </c>
      <c r="C261" s="15">
        <v>-0.12</v>
      </c>
      <c r="D261" s="14">
        <v>0</v>
      </c>
      <c r="E261" s="16">
        <v>0.8</v>
      </c>
      <c r="F261" s="17">
        <f t="shared" si="4"/>
        <v>2.039592081583683E-2</v>
      </c>
      <c r="G261" s="13"/>
    </row>
    <row r="262" spans="2:7" ht="14.25" x14ac:dyDescent="0.2">
      <c r="B262" s="14">
        <v>6.5000000000000002E-2</v>
      </c>
      <c r="C262" s="15">
        <v>-0.1</v>
      </c>
      <c r="D262" s="14">
        <v>0</v>
      </c>
      <c r="E262" s="16">
        <v>1.3</v>
      </c>
      <c r="F262" s="17">
        <f t="shared" si="4"/>
        <v>3.3143371325734847E-2</v>
      </c>
      <c r="G262" s="13"/>
    </row>
    <row r="263" spans="2:7" ht="14.25" x14ac:dyDescent="0.2">
      <c r="B263" s="14">
        <v>6.5000000000000002E-2</v>
      </c>
      <c r="C263" s="15">
        <v>-0.08</v>
      </c>
      <c r="D263" s="14">
        <v>0</v>
      </c>
      <c r="E263" s="16">
        <v>2.8</v>
      </c>
      <c r="F263" s="17">
        <f t="shared" si="4"/>
        <v>7.1385722855428893E-2</v>
      </c>
      <c r="G263" s="13"/>
    </row>
    <row r="264" spans="2:7" ht="14.25" x14ac:dyDescent="0.2">
      <c r="B264" s="14">
        <v>6.5000000000000002E-2</v>
      </c>
      <c r="C264" s="15">
        <v>-0.06</v>
      </c>
      <c r="D264" s="14">
        <v>0</v>
      </c>
      <c r="E264" s="16">
        <v>7.8</v>
      </c>
      <c r="F264" s="17">
        <f t="shared" si="4"/>
        <v>0.19886022795440905</v>
      </c>
      <c r="G264" s="13"/>
    </row>
    <row r="265" spans="2:7" ht="14.25" x14ac:dyDescent="0.2">
      <c r="B265" s="14">
        <v>6.5000000000000002E-2</v>
      </c>
      <c r="C265" s="15">
        <v>-0.04</v>
      </c>
      <c r="D265" s="14">
        <v>0</v>
      </c>
      <c r="E265" s="16">
        <v>20.7</v>
      </c>
      <c r="F265" s="17">
        <f t="shared" si="4"/>
        <v>0.52774445110977786</v>
      </c>
      <c r="G265" s="13"/>
    </row>
    <row r="266" spans="2:7" ht="14.25" x14ac:dyDescent="0.2">
      <c r="B266" s="14">
        <v>6.5000000000000002E-2</v>
      </c>
      <c r="C266" s="15">
        <v>-0.02</v>
      </c>
      <c r="D266" s="14">
        <v>0</v>
      </c>
      <c r="E266" s="16">
        <v>26.5</v>
      </c>
      <c r="F266" s="17">
        <f t="shared" si="4"/>
        <v>0.67561487702459488</v>
      </c>
      <c r="G266" s="13"/>
    </row>
    <row r="267" spans="2:7" ht="14.25" x14ac:dyDescent="0.2">
      <c r="B267" s="14">
        <v>6.5000000000000002E-2</v>
      </c>
      <c r="C267" s="15">
        <v>0</v>
      </c>
      <c r="D267" s="14">
        <v>0</v>
      </c>
      <c r="E267" s="16">
        <v>24.7</v>
      </c>
      <c r="F267" s="17">
        <f t="shared" si="4"/>
        <v>0.62972405518896202</v>
      </c>
      <c r="G267" s="13"/>
    </row>
    <row r="268" spans="2:7" ht="14.25" x14ac:dyDescent="0.2">
      <c r="B268" s="14">
        <v>6.5000000000000002E-2</v>
      </c>
      <c r="C268" s="15">
        <v>0.02</v>
      </c>
      <c r="D268" s="14">
        <v>0</v>
      </c>
      <c r="E268" s="16">
        <v>26.8</v>
      </c>
      <c r="F268" s="17">
        <f t="shared" si="4"/>
        <v>0.68326334733053373</v>
      </c>
      <c r="G268" s="13"/>
    </row>
    <row r="269" spans="2:7" ht="14.25" x14ac:dyDescent="0.2">
      <c r="B269" s="14">
        <v>6.5000000000000002E-2</v>
      </c>
      <c r="C269" s="15">
        <v>0.04</v>
      </c>
      <c r="D269" s="14">
        <v>0</v>
      </c>
      <c r="E269" s="16">
        <v>22.2</v>
      </c>
      <c r="F269" s="17">
        <f t="shared" si="4"/>
        <v>0.56598680263947199</v>
      </c>
      <c r="G269" s="13"/>
    </row>
    <row r="270" spans="2:7" ht="14.25" x14ac:dyDescent="0.2">
      <c r="B270" s="14">
        <v>6.5000000000000002E-2</v>
      </c>
      <c r="C270" s="15">
        <v>0.06</v>
      </c>
      <c r="D270" s="14">
        <v>0</v>
      </c>
      <c r="E270" s="16">
        <v>8.1999999999999993</v>
      </c>
      <c r="F270" s="17">
        <f t="shared" si="4"/>
        <v>0.20905818836232745</v>
      </c>
      <c r="G270" s="13"/>
    </row>
    <row r="271" spans="2:7" ht="14.25" x14ac:dyDescent="0.2">
      <c r="B271" s="14">
        <v>6.5000000000000002E-2</v>
      </c>
      <c r="C271" s="15">
        <v>0.08</v>
      </c>
      <c r="D271" s="14">
        <v>0</v>
      </c>
      <c r="E271" s="16">
        <v>3</v>
      </c>
      <c r="F271" s="17">
        <f t="shared" si="4"/>
        <v>7.6484703059388107E-2</v>
      </c>
      <c r="G271" s="13"/>
    </row>
    <row r="272" spans="2:7" ht="14.25" x14ac:dyDescent="0.2">
      <c r="B272" s="14">
        <v>6.5000000000000002E-2</v>
      </c>
      <c r="C272" s="15">
        <v>0.1</v>
      </c>
      <c r="D272" s="14">
        <v>0</v>
      </c>
      <c r="E272" s="16">
        <v>1.4</v>
      </c>
      <c r="F272" s="17">
        <f t="shared" si="4"/>
        <v>3.5692861427714447E-2</v>
      </c>
      <c r="G272" s="13"/>
    </row>
    <row r="273" spans="2:7" ht="14.25" x14ac:dyDescent="0.2">
      <c r="B273" s="14">
        <v>6.5000000000000002E-2</v>
      </c>
      <c r="C273" s="15">
        <v>0.12</v>
      </c>
      <c r="D273" s="14">
        <v>0</v>
      </c>
      <c r="E273" s="16">
        <v>1</v>
      </c>
      <c r="F273" s="17">
        <f t="shared" si="4"/>
        <v>2.5494901019796033E-2</v>
      </c>
      <c r="G273" s="13"/>
    </row>
    <row r="274" spans="2:7" ht="14.25" x14ac:dyDescent="0.2">
      <c r="B274" s="14">
        <v>6.5000000000000002E-2</v>
      </c>
      <c r="C274" s="15">
        <v>0.14000000000000001</v>
      </c>
      <c r="D274" s="14">
        <v>0</v>
      </c>
      <c r="E274" s="16">
        <v>0.7</v>
      </c>
      <c r="F274" s="17">
        <f t="shared" si="4"/>
        <v>1.7846430713857223E-2</v>
      </c>
      <c r="G274" s="13"/>
    </row>
    <row r="275" spans="2:7" ht="14.25" x14ac:dyDescent="0.2">
      <c r="B275" s="14">
        <v>6.5000000000000002E-2</v>
      </c>
      <c r="C275" s="15">
        <v>0.16</v>
      </c>
      <c r="D275" s="14">
        <v>0</v>
      </c>
      <c r="E275" s="16">
        <v>0.8</v>
      </c>
      <c r="F275" s="17">
        <f t="shared" si="4"/>
        <v>2.039592081583683E-2</v>
      </c>
      <c r="G275" s="13"/>
    </row>
    <row r="276" spans="2:7" ht="14.25" x14ac:dyDescent="0.2">
      <c r="B276" s="14">
        <v>6.5000000000000002E-2</v>
      </c>
      <c r="C276" s="15">
        <v>0.18</v>
      </c>
      <c r="D276" s="14">
        <v>0</v>
      </c>
      <c r="E276" s="16">
        <v>0.7</v>
      </c>
      <c r="F276" s="17">
        <f t="shared" si="4"/>
        <v>1.7846430713857223E-2</v>
      </c>
      <c r="G276" s="13"/>
    </row>
    <row r="277" spans="2:7" ht="14.25" x14ac:dyDescent="0.2">
      <c r="B277" s="14">
        <v>6.5000000000000002E-2</v>
      </c>
      <c r="C277" s="15">
        <v>0.2</v>
      </c>
      <c r="D277" s="14">
        <v>0</v>
      </c>
      <c r="E277" s="16">
        <v>0.6</v>
      </c>
      <c r="F277" s="17">
        <f t="shared" si="4"/>
        <v>1.529694061187762E-2</v>
      </c>
      <c r="G277" s="13"/>
    </row>
    <row r="278" spans="2:7" ht="14.25" x14ac:dyDescent="0.2">
      <c r="B278" s="14">
        <v>6.5000000000000002E-2</v>
      </c>
      <c r="C278" s="15">
        <v>0.22</v>
      </c>
      <c r="D278" s="14">
        <v>0</v>
      </c>
      <c r="E278" s="16">
        <v>0.6</v>
      </c>
      <c r="F278" s="17">
        <f t="shared" si="4"/>
        <v>1.529694061187762E-2</v>
      </c>
      <c r="G278" s="13"/>
    </row>
    <row r="279" spans="2:7" ht="14.25" x14ac:dyDescent="0.2">
      <c r="B279" s="15">
        <v>0.1</v>
      </c>
      <c r="C279" s="15">
        <v>-0.2</v>
      </c>
      <c r="D279" s="14">
        <v>0</v>
      </c>
      <c r="E279" s="16">
        <v>0.4</v>
      </c>
      <c r="F279" s="17">
        <f t="shared" si="4"/>
        <v>1.0197960407918415E-2</v>
      </c>
      <c r="G279" s="13"/>
    </row>
    <row r="280" spans="2:7" ht="14.25" x14ac:dyDescent="0.2">
      <c r="B280" s="15">
        <v>0.1</v>
      </c>
      <c r="C280" s="15">
        <v>-0.18</v>
      </c>
      <c r="D280" s="14">
        <v>0</v>
      </c>
      <c r="E280" s="16">
        <v>0.3</v>
      </c>
      <c r="F280" s="17">
        <f t="shared" si="4"/>
        <v>7.64847030593881E-3</v>
      </c>
      <c r="G280" s="13"/>
    </row>
    <row r="281" spans="2:7" ht="14.25" x14ac:dyDescent="0.2">
      <c r="B281" s="15">
        <v>0.1</v>
      </c>
      <c r="C281" s="15">
        <v>-0.16</v>
      </c>
      <c r="D281" s="14">
        <v>0</v>
      </c>
      <c r="E281" s="16">
        <v>0.5</v>
      </c>
      <c r="F281" s="17">
        <f t="shared" si="4"/>
        <v>1.2747450509898017E-2</v>
      </c>
      <c r="G281" s="13"/>
    </row>
    <row r="282" spans="2:7" ht="14.25" x14ac:dyDescent="0.2">
      <c r="B282" s="15">
        <v>0.1</v>
      </c>
      <c r="C282" s="15">
        <v>-0.14000000000000001</v>
      </c>
      <c r="D282" s="14">
        <v>0</v>
      </c>
      <c r="E282" s="16">
        <v>0.6</v>
      </c>
      <c r="F282" s="17">
        <f t="shared" si="4"/>
        <v>1.529694061187762E-2</v>
      </c>
      <c r="G282" s="13"/>
    </row>
    <row r="283" spans="2:7" ht="14.25" x14ac:dyDescent="0.2">
      <c r="B283" s="15">
        <v>0.1</v>
      </c>
      <c r="C283" s="15">
        <v>-0.12</v>
      </c>
      <c r="D283" s="14">
        <v>0</v>
      </c>
      <c r="E283" s="16">
        <v>0.9</v>
      </c>
      <c r="F283" s="17">
        <f t="shared" si="4"/>
        <v>2.294541091781643E-2</v>
      </c>
      <c r="G283" s="13"/>
    </row>
    <row r="284" spans="2:7" ht="14.25" x14ac:dyDescent="0.2">
      <c r="B284" s="15">
        <v>0.1</v>
      </c>
      <c r="C284" s="15">
        <v>-0.1</v>
      </c>
      <c r="D284" s="14">
        <v>0</v>
      </c>
      <c r="E284" s="16">
        <v>1.8</v>
      </c>
      <c r="F284" s="17">
        <f t="shared" si="4"/>
        <v>4.589082183563286E-2</v>
      </c>
      <c r="G284" s="13"/>
    </row>
    <row r="285" spans="2:7" ht="14.25" x14ac:dyDescent="0.2">
      <c r="B285" s="15">
        <v>0.1</v>
      </c>
      <c r="C285" s="15">
        <v>-0.08</v>
      </c>
      <c r="D285" s="14">
        <v>0</v>
      </c>
      <c r="E285" s="16">
        <v>3.7</v>
      </c>
      <c r="F285" s="17">
        <f t="shared" si="4"/>
        <v>9.4331133773245326E-2</v>
      </c>
      <c r="G285" s="13"/>
    </row>
    <row r="286" spans="2:7" ht="14.25" x14ac:dyDescent="0.2">
      <c r="B286" s="15">
        <v>0.1</v>
      </c>
      <c r="C286" s="15">
        <v>-0.06</v>
      </c>
      <c r="D286" s="14">
        <v>0</v>
      </c>
      <c r="E286" s="16">
        <v>8.1</v>
      </c>
      <c r="F286" s="17">
        <f t="shared" si="4"/>
        <v>0.20650869826034787</v>
      </c>
      <c r="G286" s="13"/>
    </row>
    <row r="287" spans="2:7" ht="14.25" x14ac:dyDescent="0.2">
      <c r="B287" s="15">
        <v>0.1</v>
      </c>
      <c r="C287" s="15">
        <v>-0.04</v>
      </c>
      <c r="D287" s="14">
        <v>0</v>
      </c>
      <c r="E287" s="16">
        <v>13.3</v>
      </c>
      <c r="F287" s="17">
        <f t="shared" si="4"/>
        <v>0.33908218356328729</v>
      </c>
      <c r="G287" s="13"/>
    </row>
    <row r="288" spans="2:7" ht="14.25" x14ac:dyDescent="0.2">
      <c r="B288" s="15">
        <v>0.1</v>
      </c>
      <c r="C288" s="15">
        <v>-0.02</v>
      </c>
      <c r="D288" s="14">
        <v>0</v>
      </c>
      <c r="E288" s="16">
        <v>22.2</v>
      </c>
      <c r="F288" s="17">
        <f t="shared" si="4"/>
        <v>0.56598680263947199</v>
      </c>
      <c r="G288" s="13"/>
    </row>
    <row r="289" spans="2:7" ht="14.25" x14ac:dyDescent="0.2">
      <c r="B289" s="15">
        <v>0.1</v>
      </c>
      <c r="C289" s="15">
        <v>0</v>
      </c>
      <c r="D289" s="14">
        <v>0</v>
      </c>
      <c r="E289" s="16">
        <v>27.6</v>
      </c>
      <c r="F289" s="17">
        <f t="shared" si="4"/>
        <v>0.70365926814637059</v>
      </c>
      <c r="G289" s="13"/>
    </row>
    <row r="290" spans="2:7" ht="14.25" x14ac:dyDescent="0.2">
      <c r="B290" s="15">
        <v>0.1</v>
      </c>
      <c r="C290" s="15">
        <v>0.02</v>
      </c>
      <c r="D290" s="14">
        <v>0</v>
      </c>
      <c r="E290" s="16">
        <v>23.7</v>
      </c>
      <c r="F290" s="17">
        <f t="shared" si="4"/>
        <v>0.60422915416916601</v>
      </c>
      <c r="G290" s="13"/>
    </row>
    <row r="291" spans="2:7" ht="14.25" x14ac:dyDescent="0.2">
      <c r="B291" s="15">
        <v>0.1</v>
      </c>
      <c r="C291" s="15">
        <v>0.04</v>
      </c>
      <c r="D291" s="14">
        <v>0</v>
      </c>
      <c r="E291" s="16">
        <v>16.2</v>
      </c>
      <c r="F291" s="17">
        <f t="shared" si="4"/>
        <v>0.41301739652069575</v>
      </c>
      <c r="G291" s="13"/>
    </row>
    <row r="292" spans="2:7" ht="14.25" x14ac:dyDescent="0.2">
      <c r="B292" s="15">
        <v>0.1</v>
      </c>
      <c r="C292" s="15">
        <v>0.06</v>
      </c>
      <c r="D292" s="14">
        <v>0</v>
      </c>
      <c r="E292" s="16">
        <v>8.1</v>
      </c>
      <c r="F292" s="17">
        <f t="shared" si="4"/>
        <v>0.20650869826034787</v>
      </c>
      <c r="G292" s="13"/>
    </row>
    <row r="293" spans="2:7" ht="14.25" x14ac:dyDescent="0.2">
      <c r="B293" s="15">
        <v>0.1</v>
      </c>
      <c r="C293" s="15">
        <v>0.08</v>
      </c>
      <c r="D293" s="14">
        <v>0</v>
      </c>
      <c r="E293" s="16">
        <v>4</v>
      </c>
      <c r="F293" s="17">
        <f t="shared" si="4"/>
        <v>0.10197960407918413</v>
      </c>
      <c r="G293" s="13"/>
    </row>
    <row r="294" spans="2:7" ht="14.25" x14ac:dyDescent="0.2">
      <c r="B294" s="15">
        <v>0.1</v>
      </c>
      <c r="C294" s="15">
        <v>0.1</v>
      </c>
      <c r="D294" s="14">
        <v>0</v>
      </c>
      <c r="E294" s="16">
        <v>1.9</v>
      </c>
      <c r="F294" s="17">
        <f t="shared" si="4"/>
        <v>4.844031193761246E-2</v>
      </c>
      <c r="G294" s="13"/>
    </row>
    <row r="295" spans="2:7" ht="14.25" x14ac:dyDescent="0.2">
      <c r="B295" s="15">
        <v>0.1</v>
      </c>
      <c r="C295" s="15">
        <v>0.12</v>
      </c>
      <c r="D295" s="14">
        <v>0</v>
      </c>
      <c r="E295" s="16">
        <v>1.2</v>
      </c>
      <c r="F295" s="17">
        <f t="shared" si="4"/>
        <v>3.059388122375524E-2</v>
      </c>
      <c r="G295" s="13"/>
    </row>
    <row r="296" spans="2:7" ht="14.25" x14ac:dyDescent="0.2">
      <c r="B296" s="15">
        <v>0.1</v>
      </c>
      <c r="C296" s="15">
        <v>0.14000000000000001</v>
      </c>
      <c r="D296" s="14">
        <v>0</v>
      </c>
      <c r="E296" s="16">
        <v>0.7</v>
      </c>
      <c r="F296" s="17">
        <f t="shared" si="4"/>
        <v>1.7846430713857223E-2</v>
      </c>
      <c r="G296" s="13"/>
    </row>
    <row r="297" spans="2:7" ht="14.25" x14ac:dyDescent="0.2">
      <c r="B297" s="15">
        <v>0.1</v>
      </c>
      <c r="C297" s="15">
        <v>0.16</v>
      </c>
      <c r="D297" s="14">
        <v>0</v>
      </c>
      <c r="E297" s="16">
        <v>0.7</v>
      </c>
      <c r="F297" s="17">
        <f t="shared" si="4"/>
        <v>1.7846430713857223E-2</v>
      </c>
      <c r="G297" s="13"/>
    </row>
    <row r="298" spans="2:7" ht="14.25" x14ac:dyDescent="0.2">
      <c r="B298" s="15">
        <v>0.1</v>
      </c>
      <c r="C298" s="15">
        <v>0.18</v>
      </c>
      <c r="D298" s="14">
        <v>0</v>
      </c>
      <c r="E298" s="16">
        <v>0.6</v>
      </c>
      <c r="F298" s="17">
        <f t="shared" si="4"/>
        <v>1.529694061187762E-2</v>
      </c>
      <c r="G298" s="13"/>
    </row>
    <row r="299" spans="2:7" ht="14.25" x14ac:dyDescent="0.2">
      <c r="B299" s="15">
        <v>0.1</v>
      </c>
      <c r="C299" s="15">
        <v>0.2</v>
      </c>
      <c r="D299" s="14">
        <v>0</v>
      </c>
      <c r="E299" s="16">
        <v>0.5</v>
      </c>
      <c r="F299" s="17">
        <f t="shared" si="4"/>
        <v>1.2747450509898017E-2</v>
      </c>
      <c r="G299" s="13"/>
    </row>
    <row r="300" spans="2:7" ht="14.25" x14ac:dyDescent="0.2">
      <c r="B300" s="15">
        <v>0.1</v>
      </c>
      <c r="C300" s="15">
        <v>0.22</v>
      </c>
      <c r="D300" s="14">
        <v>0</v>
      </c>
      <c r="E300" s="16">
        <v>0.5</v>
      </c>
      <c r="F300" s="17">
        <f t="shared" si="4"/>
        <v>1.2747450509898017E-2</v>
      </c>
      <c r="G300" s="13"/>
    </row>
    <row r="301" spans="2:7" ht="14.25" x14ac:dyDescent="0.2">
      <c r="B301" s="15">
        <v>0.15</v>
      </c>
      <c r="C301" s="15">
        <v>-0.2</v>
      </c>
      <c r="D301" s="14">
        <v>0</v>
      </c>
      <c r="E301" s="16">
        <v>0.4</v>
      </c>
      <c r="F301" s="17">
        <f t="shared" si="4"/>
        <v>1.0197960407918415E-2</v>
      </c>
      <c r="G301" s="13"/>
    </row>
    <row r="302" spans="2:7" ht="14.25" x14ac:dyDescent="0.2">
      <c r="B302" s="15">
        <v>0.15</v>
      </c>
      <c r="C302" s="15">
        <v>-0.18</v>
      </c>
      <c r="D302" s="14">
        <v>0</v>
      </c>
      <c r="E302" s="16">
        <v>0.4</v>
      </c>
      <c r="F302" s="17">
        <f t="shared" si="4"/>
        <v>1.0197960407918415E-2</v>
      </c>
      <c r="G302" s="13"/>
    </row>
    <row r="303" spans="2:7" ht="14.25" x14ac:dyDescent="0.2">
      <c r="B303" s="15">
        <v>0.15</v>
      </c>
      <c r="C303" s="15">
        <v>-0.16</v>
      </c>
      <c r="D303" s="14">
        <v>0</v>
      </c>
      <c r="E303" s="16">
        <v>0.5</v>
      </c>
      <c r="F303" s="17">
        <f t="shared" si="4"/>
        <v>1.2747450509898017E-2</v>
      </c>
      <c r="G303" s="13"/>
    </row>
    <row r="304" spans="2:7" ht="14.25" x14ac:dyDescent="0.2">
      <c r="B304" s="15">
        <v>0.15</v>
      </c>
      <c r="C304" s="15">
        <v>-0.14000000000000001</v>
      </c>
      <c r="D304" s="14">
        <v>0</v>
      </c>
      <c r="E304" s="16">
        <v>0.8</v>
      </c>
      <c r="F304" s="17">
        <f t="shared" si="4"/>
        <v>2.039592081583683E-2</v>
      </c>
      <c r="G304" s="13"/>
    </row>
    <row r="305" spans="2:7" ht="14.25" x14ac:dyDescent="0.2">
      <c r="B305" s="15">
        <v>0.15</v>
      </c>
      <c r="C305" s="15">
        <v>-0.12</v>
      </c>
      <c r="D305" s="14">
        <v>0</v>
      </c>
      <c r="E305" s="16">
        <v>1.3</v>
      </c>
      <c r="F305" s="17">
        <f t="shared" si="4"/>
        <v>3.3143371325734847E-2</v>
      </c>
      <c r="G305" s="13"/>
    </row>
    <row r="306" spans="2:7" ht="14.25" x14ac:dyDescent="0.2">
      <c r="B306" s="15">
        <v>0.15</v>
      </c>
      <c r="C306" s="15">
        <v>-0.1</v>
      </c>
      <c r="D306" s="14">
        <v>0</v>
      </c>
      <c r="E306" s="16">
        <v>3</v>
      </c>
      <c r="F306" s="17">
        <f t="shared" si="4"/>
        <v>7.6484703059388107E-2</v>
      </c>
      <c r="G306" s="13"/>
    </row>
    <row r="307" spans="2:7" ht="14.25" x14ac:dyDescent="0.2">
      <c r="B307" s="15">
        <v>0.15</v>
      </c>
      <c r="C307" s="15">
        <v>-0.08</v>
      </c>
      <c r="D307" s="14">
        <v>0</v>
      </c>
      <c r="E307" s="16">
        <v>5.3</v>
      </c>
      <c r="F307" s="17">
        <f t="shared" si="4"/>
        <v>0.13512297540491897</v>
      </c>
      <c r="G307" s="13"/>
    </row>
    <row r="308" spans="2:7" ht="14.25" x14ac:dyDescent="0.2">
      <c r="B308" s="15">
        <v>0.15</v>
      </c>
      <c r="C308" s="15">
        <v>-0.06</v>
      </c>
      <c r="D308" s="14">
        <v>0</v>
      </c>
      <c r="E308" s="16">
        <v>10.6</v>
      </c>
      <c r="F308" s="17">
        <f t="shared" si="4"/>
        <v>0.27024595080983793</v>
      </c>
      <c r="G308" s="13"/>
    </row>
    <row r="309" spans="2:7" ht="14.25" x14ac:dyDescent="0.2">
      <c r="B309" s="15">
        <v>0.15</v>
      </c>
      <c r="C309" s="15">
        <v>-0.04</v>
      </c>
      <c r="D309" s="14">
        <v>0</v>
      </c>
      <c r="E309" s="16">
        <v>14.4</v>
      </c>
      <c r="F309" s="17">
        <f t="shared" si="4"/>
        <v>0.36712657468506288</v>
      </c>
      <c r="G309" s="13"/>
    </row>
    <row r="310" spans="2:7" ht="14.25" x14ac:dyDescent="0.2">
      <c r="B310" s="15">
        <v>0.15</v>
      </c>
      <c r="C310" s="15">
        <v>-0.02</v>
      </c>
      <c r="D310" s="14">
        <v>0</v>
      </c>
      <c r="E310" s="16">
        <v>25.1</v>
      </c>
      <c r="F310" s="17">
        <f t="shared" si="4"/>
        <v>0.63992201559688044</v>
      </c>
      <c r="G310" s="13"/>
    </row>
    <row r="311" spans="2:7" ht="14.25" x14ac:dyDescent="0.2">
      <c r="B311" s="15">
        <v>0.15</v>
      </c>
      <c r="C311" s="15">
        <v>0</v>
      </c>
      <c r="D311" s="14">
        <v>0</v>
      </c>
      <c r="E311" s="16">
        <v>30.3</v>
      </c>
      <c r="F311" s="17">
        <f t="shared" si="4"/>
        <v>0.77249550089981989</v>
      </c>
      <c r="G311" s="13"/>
    </row>
    <row r="312" spans="2:7" ht="14.25" x14ac:dyDescent="0.2">
      <c r="B312" s="15">
        <v>0.15</v>
      </c>
      <c r="C312" s="15">
        <v>0.02</v>
      </c>
      <c r="D312" s="14">
        <v>0</v>
      </c>
      <c r="E312" s="16">
        <v>28.2</v>
      </c>
      <c r="F312" s="17">
        <f t="shared" si="4"/>
        <v>0.71895620875824817</v>
      </c>
      <c r="G312" s="13"/>
    </row>
    <row r="313" spans="2:7" ht="14.25" x14ac:dyDescent="0.2">
      <c r="B313" s="15">
        <v>0.15</v>
      </c>
      <c r="C313" s="15">
        <v>0.04</v>
      </c>
      <c r="D313" s="14">
        <v>0</v>
      </c>
      <c r="E313" s="16">
        <v>17.899999999999999</v>
      </c>
      <c r="F313" s="17">
        <f t="shared" si="4"/>
        <v>0.45635872825434898</v>
      </c>
      <c r="G313" s="13"/>
    </row>
    <row r="314" spans="2:7" ht="14.25" x14ac:dyDescent="0.2">
      <c r="B314" s="15">
        <v>0.15</v>
      </c>
      <c r="C314" s="15">
        <v>0.06</v>
      </c>
      <c r="D314" s="14">
        <v>0</v>
      </c>
      <c r="E314" s="16">
        <v>9.9</v>
      </c>
      <c r="F314" s="17">
        <f t="shared" si="4"/>
        <v>0.25239952009598077</v>
      </c>
      <c r="G314" s="13"/>
    </row>
    <row r="315" spans="2:7" ht="14.25" x14ac:dyDescent="0.2">
      <c r="B315" s="15">
        <v>0.15</v>
      </c>
      <c r="C315" s="15">
        <v>0.08</v>
      </c>
      <c r="D315" s="14">
        <v>0</v>
      </c>
      <c r="E315" s="16">
        <v>6</v>
      </c>
      <c r="F315" s="17">
        <f t="shared" si="4"/>
        <v>0.15296940611877621</v>
      </c>
      <c r="G315" s="13"/>
    </row>
    <row r="316" spans="2:7" ht="14.25" x14ac:dyDescent="0.2">
      <c r="B316" s="15">
        <v>0.15</v>
      </c>
      <c r="C316" s="15">
        <v>0.1</v>
      </c>
      <c r="D316" s="14">
        <v>0</v>
      </c>
      <c r="E316" s="16">
        <v>3.2</v>
      </c>
      <c r="F316" s="17">
        <f t="shared" si="4"/>
        <v>8.158368326334732E-2</v>
      </c>
      <c r="G316" s="13"/>
    </row>
    <row r="317" spans="2:7" ht="14.25" x14ac:dyDescent="0.2">
      <c r="B317" s="15">
        <v>0.15</v>
      </c>
      <c r="C317" s="15">
        <v>0.12</v>
      </c>
      <c r="D317" s="14">
        <v>0</v>
      </c>
      <c r="E317" s="16">
        <v>1.9</v>
      </c>
      <c r="F317" s="17">
        <f t="shared" si="4"/>
        <v>4.844031193761246E-2</v>
      </c>
      <c r="G317" s="13"/>
    </row>
    <row r="318" spans="2:7" ht="14.25" x14ac:dyDescent="0.2">
      <c r="B318" s="15">
        <v>0.15</v>
      </c>
      <c r="C318" s="15">
        <v>0.14000000000000001</v>
      </c>
      <c r="D318" s="14">
        <v>0</v>
      </c>
      <c r="E318" s="16">
        <v>0.9</v>
      </c>
      <c r="F318" s="17">
        <f t="shared" si="4"/>
        <v>2.294541091781643E-2</v>
      </c>
      <c r="G318" s="13"/>
    </row>
    <row r="319" spans="2:7" ht="14.25" x14ac:dyDescent="0.2">
      <c r="B319" s="15">
        <v>0.15</v>
      </c>
      <c r="C319" s="15">
        <v>0.16</v>
      </c>
      <c r="D319" s="14">
        <v>0</v>
      </c>
      <c r="E319" s="16">
        <v>0.8</v>
      </c>
      <c r="F319" s="17">
        <f t="shared" si="4"/>
        <v>2.039592081583683E-2</v>
      </c>
      <c r="G319" s="13"/>
    </row>
    <row r="320" spans="2:7" ht="14.25" x14ac:dyDescent="0.2">
      <c r="B320" s="15">
        <v>0.15</v>
      </c>
      <c r="C320" s="15">
        <v>0.18</v>
      </c>
      <c r="D320" s="14">
        <v>0</v>
      </c>
      <c r="E320" s="16">
        <v>0.6</v>
      </c>
      <c r="F320" s="17">
        <f t="shared" si="4"/>
        <v>1.529694061187762E-2</v>
      </c>
      <c r="G320" s="13"/>
    </row>
    <row r="321" spans="2:7" ht="14.25" x14ac:dyDescent="0.2">
      <c r="B321" s="15">
        <v>0.15</v>
      </c>
      <c r="C321" s="15">
        <v>0.2</v>
      </c>
      <c r="D321" s="14">
        <v>0</v>
      </c>
      <c r="E321" s="16">
        <v>0.5</v>
      </c>
      <c r="F321" s="17">
        <f t="shared" si="4"/>
        <v>1.2747450509898017E-2</v>
      </c>
      <c r="G321" s="13"/>
    </row>
    <row r="322" spans="2:7" ht="14.25" x14ac:dyDescent="0.2">
      <c r="B322" s="15">
        <v>0.15</v>
      </c>
      <c r="C322" s="15">
        <v>0.22</v>
      </c>
      <c r="D322" s="14">
        <v>0</v>
      </c>
      <c r="E322" s="16">
        <v>0.5</v>
      </c>
      <c r="F322" s="17">
        <f t="shared" ref="F322:F385" si="5">E322/$F$1</f>
        <v>1.2747450509898017E-2</v>
      </c>
      <c r="G322" s="13"/>
    </row>
    <row r="323" spans="2:7" ht="14.25" x14ac:dyDescent="0.2">
      <c r="B323" s="15">
        <v>0.2</v>
      </c>
      <c r="C323" s="15">
        <v>-0.2</v>
      </c>
      <c r="D323" s="14">
        <v>0</v>
      </c>
      <c r="E323" s="16">
        <v>0.4</v>
      </c>
      <c r="F323" s="17">
        <f t="shared" si="5"/>
        <v>1.0197960407918415E-2</v>
      </c>
      <c r="G323" s="13"/>
    </row>
    <row r="324" spans="2:7" ht="14.25" x14ac:dyDescent="0.2">
      <c r="B324" s="15">
        <v>0.2</v>
      </c>
      <c r="C324" s="15">
        <v>-0.18</v>
      </c>
      <c r="D324" s="14">
        <v>0</v>
      </c>
      <c r="E324" s="16">
        <v>0.4</v>
      </c>
      <c r="F324" s="17">
        <f t="shared" si="5"/>
        <v>1.0197960407918415E-2</v>
      </c>
      <c r="G324" s="13"/>
    </row>
    <row r="325" spans="2:7" ht="14.25" x14ac:dyDescent="0.2">
      <c r="B325" s="15">
        <v>0.2</v>
      </c>
      <c r="C325" s="15">
        <v>-0.16</v>
      </c>
      <c r="D325" s="14">
        <v>0</v>
      </c>
      <c r="E325" s="16">
        <v>0.7</v>
      </c>
      <c r="F325" s="17">
        <f t="shared" si="5"/>
        <v>1.7846430713857223E-2</v>
      </c>
      <c r="G325" s="13"/>
    </row>
    <row r="326" spans="2:7" ht="14.25" x14ac:dyDescent="0.2">
      <c r="B326" s="15">
        <v>0.2</v>
      </c>
      <c r="C326" s="15">
        <v>-0.14000000000000001</v>
      </c>
      <c r="D326" s="14">
        <v>0</v>
      </c>
      <c r="E326" s="16">
        <v>1.6</v>
      </c>
      <c r="F326" s="17">
        <f t="shared" si="5"/>
        <v>4.079184163167366E-2</v>
      </c>
      <c r="G326" s="13"/>
    </row>
    <row r="327" spans="2:7" ht="14.25" x14ac:dyDescent="0.2">
      <c r="B327" s="15">
        <v>0.2</v>
      </c>
      <c r="C327" s="15">
        <v>-0.12</v>
      </c>
      <c r="D327" s="14">
        <v>0</v>
      </c>
      <c r="E327" s="16">
        <v>2.4</v>
      </c>
      <c r="F327" s="17">
        <f t="shared" si="5"/>
        <v>6.118776244751048E-2</v>
      </c>
      <c r="G327" s="13"/>
    </row>
    <row r="328" spans="2:7" ht="14.25" x14ac:dyDescent="0.2">
      <c r="B328" s="15">
        <v>0.2</v>
      </c>
      <c r="C328" s="15">
        <v>-0.1</v>
      </c>
      <c r="D328" s="14">
        <v>0</v>
      </c>
      <c r="E328" s="16">
        <v>5.2</v>
      </c>
      <c r="F328" s="17">
        <f t="shared" si="5"/>
        <v>0.13257348530293939</v>
      </c>
      <c r="G328" s="13"/>
    </row>
    <row r="329" spans="2:7" ht="14.25" x14ac:dyDescent="0.2">
      <c r="B329" s="15">
        <v>0.2</v>
      </c>
      <c r="C329" s="15">
        <v>-0.08</v>
      </c>
      <c r="D329" s="14">
        <v>0</v>
      </c>
      <c r="E329" s="16">
        <v>8.6999999999999993</v>
      </c>
      <c r="F329" s="17">
        <f t="shared" si="5"/>
        <v>0.22180563887222549</v>
      </c>
      <c r="G329" s="13"/>
    </row>
    <row r="330" spans="2:7" ht="14.25" x14ac:dyDescent="0.2">
      <c r="B330" s="15">
        <v>0.2</v>
      </c>
      <c r="C330" s="15">
        <v>-0.06</v>
      </c>
      <c r="D330" s="14">
        <v>0</v>
      </c>
      <c r="E330" s="16">
        <v>16.100000000000001</v>
      </c>
      <c r="F330" s="17">
        <f t="shared" si="5"/>
        <v>0.41046790641871617</v>
      </c>
      <c r="G330" s="13"/>
    </row>
    <row r="331" spans="2:7" ht="14.25" x14ac:dyDescent="0.2">
      <c r="B331" s="15">
        <v>0.2</v>
      </c>
      <c r="C331" s="15">
        <v>-0.04</v>
      </c>
      <c r="D331" s="14">
        <v>0</v>
      </c>
      <c r="E331" s="16">
        <v>20.6</v>
      </c>
      <c r="F331" s="17">
        <f t="shared" si="5"/>
        <v>0.52519496100779839</v>
      </c>
      <c r="G331" s="13"/>
    </row>
    <row r="332" spans="2:7" ht="14.25" x14ac:dyDescent="0.2">
      <c r="B332" s="15">
        <v>0.2</v>
      </c>
      <c r="C332" s="15">
        <v>-0.02</v>
      </c>
      <c r="D332" s="14">
        <v>0</v>
      </c>
      <c r="E332" s="16">
        <v>30.5</v>
      </c>
      <c r="F332" s="17">
        <f t="shared" si="5"/>
        <v>0.77759448110377904</v>
      </c>
      <c r="G332" s="13"/>
    </row>
    <row r="333" spans="2:7" ht="14.25" x14ac:dyDescent="0.2">
      <c r="B333" s="15">
        <v>0.2</v>
      </c>
      <c r="C333" s="15">
        <v>0</v>
      </c>
      <c r="D333" s="14">
        <v>0</v>
      </c>
      <c r="E333" s="16">
        <v>32.4</v>
      </c>
      <c r="F333" s="17">
        <f t="shared" si="5"/>
        <v>0.82603479304139149</v>
      </c>
      <c r="G333" s="13"/>
    </row>
    <row r="334" spans="2:7" ht="14.25" x14ac:dyDescent="0.2">
      <c r="B334" s="15">
        <v>0.2</v>
      </c>
      <c r="C334" s="15">
        <v>0.02</v>
      </c>
      <c r="D334" s="14">
        <v>0</v>
      </c>
      <c r="E334" s="16">
        <v>31.2</v>
      </c>
      <c r="F334" s="17">
        <f t="shared" si="5"/>
        <v>0.79544091181763621</v>
      </c>
      <c r="G334" s="13"/>
    </row>
    <row r="335" spans="2:7" ht="14.25" x14ac:dyDescent="0.2">
      <c r="B335" s="15">
        <v>0.2</v>
      </c>
      <c r="C335" s="15">
        <v>0.04</v>
      </c>
      <c r="D335" s="14">
        <v>0</v>
      </c>
      <c r="E335" s="16">
        <v>22.8</v>
      </c>
      <c r="F335" s="17">
        <f t="shared" si="5"/>
        <v>0.58128374325134957</v>
      </c>
      <c r="G335" s="13"/>
    </row>
    <row r="336" spans="2:7" ht="14.25" x14ac:dyDescent="0.2">
      <c r="B336" s="15">
        <v>0.2</v>
      </c>
      <c r="C336" s="15">
        <v>0.06</v>
      </c>
      <c r="D336" s="14">
        <v>0</v>
      </c>
      <c r="E336" s="16">
        <v>14.6</v>
      </c>
      <c r="F336" s="17">
        <f t="shared" si="5"/>
        <v>0.37222555488902209</v>
      </c>
      <c r="G336" s="13"/>
    </row>
    <row r="337" spans="2:7" ht="14.25" x14ac:dyDescent="0.2">
      <c r="B337" s="15">
        <v>0.2</v>
      </c>
      <c r="C337" s="15">
        <v>0.08</v>
      </c>
      <c r="D337" s="14">
        <v>0</v>
      </c>
      <c r="E337" s="16">
        <v>8.1</v>
      </c>
      <c r="F337" s="17">
        <f t="shared" si="5"/>
        <v>0.20650869826034787</v>
      </c>
      <c r="G337" s="13"/>
    </row>
    <row r="338" spans="2:7" ht="14.25" x14ac:dyDescent="0.2">
      <c r="B338" s="15">
        <v>0.2</v>
      </c>
      <c r="C338" s="15">
        <v>0.1</v>
      </c>
      <c r="D338" s="14">
        <v>0</v>
      </c>
      <c r="E338" s="16">
        <v>4.7</v>
      </c>
      <c r="F338" s="17">
        <f t="shared" si="5"/>
        <v>0.11982603479304137</v>
      </c>
      <c r="G338" s="13"/>
    </row>
    <row r="339" spans="2:7" ht="14.25" x14ac:dyDescent="0.2">
      <c r="B339" s="15">
        <v>0.2</v>
      </c>
      <c r="C339" s="15">
        <v>0.12</v>
      </c>
      <c r="D339" s="14">
        <v>0</v>
      </c>
      <c r="E339" s="16">
        <v>2.9</v>
      </c>
      <c r="F339" s="17">
        <f t="shared" si="5"/>
        <v>7.39352129574085E-2</v>
      </c>
      <c r="G339" s="13"/>
    </row>
    <row r="340" spans="2:7" ht="14.25" x14ac:dyDescent="0.2">
      <c r="B340" s="15">
        <v>0.2</v>
      </c>
      <c r="C340" s="15">
        <v>0.14000000000000001</v>
      </c>
      <c r="D340" s="14">
        <v>0</v>
      </c>
      <c r="E340" s="16">
        <v>1.5</v>
      </c>
      <c r="F340" s="17">
        <f t="shared" si="5"/>
        <v>3.8242351529694053E-2</v>
      </c>
      <c r="G340" s="13"/>
    </row>
    <row r="341" spans="2:7" ht="14.25" x14ac:dyDescent="0.2">
      <c r="B341" s="15">
        <v>0.2</v>
      </c>
      <c r="C341" s="15">
        <v>0.16</v>
      </c>
      <c r="D341" s="14">
        <v>0</v>
      </c>
      <c r="E341" s="16">
        <v>1.1000000000000001</v>
      </c>
      <c r="F341" s="17">
        <f t="shared" si="5"/>
        <v>2.804439112177564E-2</v>
      </c>
      <c r="G341" s="13"/>
    </row>
    <row r="342" spans="2:7" ht="14.25" x14ac:dyDescent="0.2">
      <c r="B342" s="15">
        <v>0.2</v>
      </c>
      <c r="C342" s="15">
        <v>0.18</v>
      </c>
      <c r="D342" s="14">
        <v>0</v>
      </c>
      <c r="E342" s="16">
        <v>0.6</v>
      </c>
      <c r="F342" s="17">
        <f t="shared" si="5"/>
        <v>1.529694061187762E-2</v>
      </c>
      <c r="G342" s="13"/>
    </row>
    <row r="343" spans="2:7" ht="14.25" x14ac:dyDescent="0.2">
      <c r="B343" s="15">
        <v>0.2</v>
      </c>
      <c r="C343" s="15">
        <v>0.2</v>
      </c>
      <c r="D343" s="14">
        <v>0</v>
      </c>
      <c r="E343" s="16">
        <v>0.5</v>
      </c>
      <c r="F343" s="17">
        <f t="shared" si="5"/>
        <v>1.2747450509898017E-2</v>
      </c>
      <c r="G343" s="13"/>
    </row>
    <row r="344" spans="2:7" ht="14.25" x14ac:dyDescent="0.2">
      <c r="B344" s="15">
        <v>0.2</v>
      </c>
      <c r="C344" s="15">
        <v>0.22</v>
      </c>
      <c r="D344" s="14">
        <v>0</v>
      </c>
      <c r="E344" s="16">
        <v>0.4</v>
      </c>
      <c r="F344" s="17">
        <f t="shared" si="5"/>
        <v>1.0197960407918415E-2</v>
      </c>
      <c r="G344" s="13"/>
    </row>
    <row r="345" spans="2:7" ht="14.25" x14ac:dyDescent="0.2">
      <c r="B345" s="15">
        <v>0.25</v>
      </c>
      <c r="C345" s="15">
        <v>-0.2</v>
      </c>
      <c r="D345" s="14">
        <v>0</v>
      </c>
      <c r="E345" s="16">
        <v>0.3</v>
      </c>
      <c r="F345" s="17">
        <f t="shared" si="5"/>
        <v>7.64847030593881E-3</v>
      </c>
      <c r="G345" s="13"/>
    </row>
    <row r="346" spans="2:7" ht="14.25" x14ac:dyDescent="0.2">
      <c r="B346" s="15">
        <v>0.25</v>
      </c>
      <c r="C346" s="15">
        <v>-0.18</v>
      </c>
      <c r="D346" s="14">
        <v>0</v>
      </c>
      <c r="E346" s="16">
        <v>0.6</v>
      </c>
      <c r="F346" s="17">
        <f t="shared" si="5"/>
        <v>1.529694061187762E-2</v>
      </c>
      <c r="G346" s="13"/>
    </row>
    <row r="347" spans="2:7" ht="14.25" x14ac:dyDescent="0.2">
      <c r="B347" s="15">
        <v>0.25</v>
      </c>
      <c r="C347" s="15">
        <v>-0.16</v>
      </c>
      <c r="D347" s="14">
        <v>0</v>
      </c>
      <c r="E347" s="16">
        <v>1</v>
      </c>
      <c r="F347" s="17">
        <f t="shared" si="5"/>
        <v>2.5494901019796033E-2</v>
      </c>
      <c r="G347" s="13"/>
    </row>
    <row r="348" spans="2:7" ht="14.25" x14ac:dyDescent="0.2">
      <c r="B348" s="15">
        <v>0.25</v>
      </c>
      <c r="C348" s="15">
        <v>-0.14000000000000001</v>
      </c>
      <c r="D348" s="14">
        <v>0</v>
      </c>
      <c r="E348" s="16">
        <v>2.1</v>
      </c>
      <c r="F348" s="17">
        <f t="shared" si="5"/>
        <v>5.3539292141571673E-2</v>
      </c>
      <c r="G348" s="13"/>
    </row>
    <row r="349" spans="2:7" ht="14.25" x14ac:dyDescent="0.2">
      <c r="B349" s="15">
        <v>0.25</v>
      </c>
      <c r="C349" s="15">
        <v>-0.12</v>
      </c>
      <c r="D349" s="14">
        <v>0</v>
      </c>
      <c r="E349" s="16">
        <v>3.5</v>
      </c>
      <c r="F349" s="17">
        <f t="shared" si="5"/>
        <v>8.9232153569286127E-2</v>
      </c>
      <c r="G349" s="13"/>
    </row>
    <row r="350" spans="2:7" ht="14.25" x14ac:dyDescent="0.2">
      <c r="B350" s="15">
        <v>0.25</v>
      </c>
      <c r="C350" s="15">
        <v>-0.1</v>
      </c>
      <c r="D350" s="14">
        <v>0</v>
      </c>
      <c r="E350" s="16">
        <v>6.6</v>
      </c>
      <c r="F350" s="17">
        <f t="shared" si="5"/>
        <v>0.16826634673065383</v>
      </c>
      <c r="G350" s="13"/>
    </row>
    <row r="351" spans="2:7" ht="14.25" x14ac:dyDescent="0.2">
      <c r="B351" s="15">
        <v>0.25</v>
      </c>
      <c r="C351" s="15">
        <v>-0.08</v>
      </c>
      <c r="D351" s="14">
        <v>0</v>
      </c>
      <c r="E351" s="16">
        <v>11.5</v>
      </c>
      <c r="F351" s="17">
        <f t="shared" si="5"/>
        <v>0.29319136172765442</v>
      </c>
      <c r="G351" s="13"/>
    </row>
    <row r="352" spans="2:7" ht="14.25" x14ac:dyDescent="0.2">
      <c r="B352" s="15">
        <v>0.25</v>
      </c>
      <c r="C352" s="15">
        <v>-0.06</v>
      </c>
      <c r="D352" s="14">
        <v>0</v>
      </c>
      <c r="E352" s="16">
        <v>19.2</v>
      </c>
      <c r="F352" s="17">
        <f t="shared" si="5"/>
        <v>0.48950209958008384</v>
      </c>
      <c r="G352" s="13"/>
    </row>
    <row r="353" spans="2:7" ht="14.25" x14ac:dyDescent="0.2">
      <c r="B353" s="15">
        <v>0.25</v>
      </c>
      <c r="C353" s="15">
        <v>-0.04</v>
      </c>
      <c r="D353" s="14">
        <v>0</v>
      </c>
      <c r="E353" s="16">
        <v>23.4</v>
      </c>
      <c r="F353" s="17">
        <f t="shared" si="5"/>
        <v>0.59658068386322716</v>
      </c>
      <c r="G353" s="13"/>
    </row>
    <row r="354" spans="2:7" ht="14.25" x14ac:dyDescent="0.2">
      <c r="B354" s="15">
        <v>0.25</v>
      </c>
      <c r="C354" s="15">
        <v>-0.02</v>
      </c>
      <c r="D354" s="14">
        <v>0</v>
      </c>
      <c r="E354" s="16">
        <v>30.6</v>
      </c>
      <c r="F354" s="17">
        <f t="shared" si="5"/>
        <v>0.78014397120575874</v>
      </c>
      <c r="G354" s="13"/>
    </row>
    <row r="355" spans="2:7" ht="14.25" x14ac:dyDescent="0.2">
      <c r="B355" s="15">
        <v>0.25</v>
      </c>
      <c r="C355" s="15">
        <v>0</v>
      </c>
      <c r="D355" s="14">
        <v>0</v>
      </c>
      <c r="E355" s="16">
        <v>34.200000000000003</v>
      </c>
      <c r="F355" s="17">
        <f t="shared" si="5"/>
        <v>0.87192561487702447</v>
      </c>
      <c r="G355" s="13"/>
    </row>
    <row r="356" spans="2:7" ht="14.25" x14ac:dyDescent="0.2">
      <c r="B356" s="15">
        <v>0.25</v>
      </c>
      <c r="C356" s="15">
        <v>0.02</v>
      </c>
      <c r="D356" s="14">
        <v>0</v>
      </c>
      <c r="E356" s="16">
        <v>31.3</v>
      </c>
      <c r="F356" s="17">
        <f t="shared" si="5"/>
        <v>0.7979904019196159</v>
      </c>
      <c r="G356" s="13"/>
    </row>
    <row r="357" spans="2:7" ht="14.25" x14ac:dyDescent="0.2">
      <c r="B357" s="15">
        <v>0.25</v>
      </c>
      <c r="C357" s="15">
        <v>0.04</v>
      </c>
      <c r="D357" s="14">
        <v>0</v>
      </c>
      <c r="E357" s="16">
        <v>25.9</v>
      </c>
      <c r="F357" s="17">
        <f t="shared" si="5"/>
        <v>0.6603179364127173</v>
      </c>
      <c r="G357" s="13"/>
    </row>
    <row r="358" spans="2:7" ht="14.25" x14ac:dyDescent="0.2">
      <c r="B358" s="15">
        <v>0.25</v>
      </c>
      <c r="C358" s="15">
        <v>0.06</v>
      </c>
      <c r="D358" s="14">
        <v>0</v>
      </c>
      <c r="E358" s="16">
        <v>17.7</v>
      </c>
      <c r="F358" s="17">
        <f t="shared" si="5"/>
        <v>0.45125974805038976</v>
      </c>
      <c r="G358" s="13"/>
    </row>
    <row r="359" spans="2:7" ht="14.25" x14ac:dyDescent="0.2">
      <c r="B359" s="15">
        <v>0.25</v>
      </c>
      <c r="C359" s="15">
        <v>0.08</v>
      </c>
      <c r="D359" s="14">
        <v>0</v>
      </c>
      <c r="E359" s="16">
        <v>12</v>
      </c>
      <c r="F359" s="17">
        <f t="shared" si="5"/>
        <v>0.30593881223755243</v>
      </c>
      <c r="G359" s="13"/>
    </row>
    <row r="360" spans="2:7" ht="14.25" x14ac:dyDescent="0.2">
      <c r="B360" s="15">
        <v>0.25</v>
      </c>
      <c r="C360" s="15">
        <v>0.1</v>
      </c>
      <c r="D360" s="14">
        <v>0</v>
      </c>
      <c r="E360" s="16">
        <v>7</v>
      </c>
      <c r="F360" s="17">
        <f t="shared" si="5"/>
        <v>0.17846430713857225</v>
      </c>
      <c r="G360" s="13"/>
    </row>
    <row r="361" spans="2:7" ht="14.25" x14ac:dyDescent="0.2">
      <c r="B361" s="15">
        <v>0.25</v>
      </c>
      <c r="C361" s="15">
        <v>0.12</v>
      </c>
      <c r="D361" s="14">
        <v>0</v>
      </c>
      <c r="E361" s="16">
        <v>4.3</v>
      </c>
      <c r="F361" s="17">
        <f t="shared" si="5"/>
        <v>0.10962807438512294</v>
      </c>
      <c r="G361" s="13"/>
    </row>
    <row r="362" spans="2:7" ht="14.25" x14ac:dyDescent="0.2">
      <c r="B362" s="15">
        <v>0.25</v>
      </c>
      <c r="C362" s="15">
        <v>0.14000000000000001</v>
      </c>
      <c r="D362" s="14">
        <v>0</v>
      </c>
      <c r="E362" s="16">
        <v>2.2999999999999998</v>
      </c>
      <c r="F362" s="17">
        <f t="shared" si="5"/>
        <v>5.8638272345530873E-2</v>
      </c>
      <c r="G362" s="13"/>
    </row>
    <row r="363" spans="2:7" ht="14.25" x14ac:dyDescent="0.2">
      <c r="B363" s="15">
        <v>0.25</v>
      </c>
      <c r="C363" s="15">
        <v>0.16</v>
      </c>
      <c r="D363" s="14">
        <v>0</v>
      </c>
      <c r="E363" s="16">
        <v>1.6</v>
      </c>
      <c r="F363" s="17">
        <f t="shared" si="5"/>
        <v>4.079184163167366E-2</v>
      </c>
      <c r="G363" s="13"/>
    </row>
    <row r="364" spans="2:7" ht="14.25" x14ac:dyDescent="0.2">
      <c r="B364" s="15">
        <v>0.25</v>
      </c>
      <c r="C364" s="15">
        <v>0.18</v>
      </c>
      <c r="D364" s="14">
        <v>0</v>
      </c>
      <c r="E364" s="16">
        <v>0.8</v>
      </c>
      <c r="F364" s="17">
        <f t="shared" si="5"/>
        <v>2.039592081583683E-2</v>
      </c>
      <c r="G364" s="13"/>
    </row>
    <row r="365" spans="2:7" ht="14.25" x14ac:dyDescent="0.2">
      <c r="B365" s="15">
        <v>0.25</v>
      </c>
      <c r="C365" s="15">
        <v>0.2</v>
      </c>
      <c r="D365" s="14">
        <v>0</v>
      </c>
      <c r="E365" s="16">
        <v>0.5</v>
      </c>
      <c r="F365" s="17">
        <f t="shared" si="5"/>
        <v>1.2747450509898017E-2</v>
      </c>
      <c r="G365" s="13"/>
    </row>
    <row r="366" spans="2:7" ht="14.25" x14ac:dyDescent="0.2">
      <c r="B366" s="15">
        <v>0.25</v>
      </c>
      <c r="C366" s="15">
        <v>0.22</v>
      </c>
      <c r="D366" s="14">
        <v>0</v>
      </c>
      <c r="E366" s="16">
        <v>0.4</v>
      </c>
      <c r="F366" s="17">
        <f t="shared" si="5"/>
        <v>1.0197960407918415E-2</v>
      </c>
      <c r="G366" s="13"/>
    </row>
    <row r="367" spans="2:7" ht="14.25" x14ac:dyDescent="0.2">
      <c r="B367" s="15">
        <v>0.3</v>
      </c>
      <c r="C367" s="15">
        <v>-0.2</v>
      </c>
      <c r="D367" s="14">
        <v>0</v>
      </c>
      <c r="E367" s="16">
        <v>0.5</v>
      </c>
      <c r="F367" s="17">
        <f t="shared" si="5"/>
        <v>1.2747450509898017E-2</v>
      </c>
      <c r="G367" s="13"/>
    </row>
    <row r="368" spans="2:7" ht="14.25" x14ac:dyDescent="0.2">
      <c r="B368" s="15">
        <v>0.3</v>
      </c>
      <c r="C368" s="15">
        <v>-0.18</v>
      </c>
      <c r="D368" s="14">
        <v>0</v>
      </c>
      <c r="E368" s="16">
        <v>0.8</v>
      </c>
      <c r="F368" s="17">
        <f t="shared" si="5"/>
        <v>2.039592081583683E-2</v>
      </c>
      <c r="G368" s="13"/>
    </row>
    <row r="369" spans="2:7" ht="14.25" x14ac:dyDescent="0.2">
      <c r="B369" s="15">
        <v>0.3</v>
      </c>
      <c r="C369" s="15">
        <v>-0.16</v>
      </c>
      <c r="D369" s="14">
        <v>0</v>
      </c>
      <c r="E369" s="16">
        <v>1.6</v>
      </c>
      <c r="F369" s="17">
        <f t="shared" si="5"/>
        <v>4.079184163167366E-2</v>
      </c>
      <c r="G369" s="13"/>
    </row>
    <row r="370" spans="2:7" ht="14.25" x14ac:dyDescent="0.2">
      <c r="B370" s="15">
        <v>0.3</v>
      </c>
      <c r="C370" s="15">
        <v>-0.14000000000000001</v>
      </c>
      <c r="D370" s="14">
        <v>0</v>
      </c>
      <c r="E370" s="16">
        <v>3.1</v>
      </c>
      <c r="F370" s="17">
        <f t="shared" si="5"/>
        <v>7.9034193161367713E-2</v>
      </c>
      <c r="G370" s="13"/>
    </row>
    <row r="371" spans="2:7" ht="14.25" x14ac:dyDescent="0.2">
      <c r="B371" s="15">
        <v>0.3</v>
      </c>
      <c r="C371" s="15">
        <v>-0.12</v>
      </c>
      <c r="D371" s="14">
        <v>0</v>
      </c>
      <c r="E371" s="16">
        <v>5.0999999999999996</v>
      </c>
      <c r="F371" s="17">
        <f t="shared" si="5"/>
        <v>0.13002399520095978</v>
      </c>
      <c r="G371" s="13"/>
    </row>
    <row r="372" spans="2:7" ht="14.25" x14ac:dyDescent="0.2">
      <c r="B372" s="15">
        <v>0.3</v>
      </c>
      <c r="C372" s="15">
        <v>-0.1</v>
      </c>
      <c r="D372" s="14">
        <v>0</v>
      </c>
      <c r="E372" s="16">
        <v>8.6</v>
      </c>
      <c r="F372" s="17">
        <f t="shared" si="5"/>
        <v>0.21925614877024588</v>
      </c>
      <c r="G372" s="13"/>
    </row>
    <row r="373" spans="2:7" ht="14.25" x14ac:dyDescent="0.2">
      <c r="B373" s="15">
        <v>0.3</v>
      </c>
      <c r="C373" s="15">
        <v>-0.08</v>
      </c>
      <c r="D373" s="14">
        <v>0</v>
      </c>
      <c r="E373" s="16">
        <v>14.6</v>
      </c>
      <c r="F373" s="17">
        <f t="shared" si="5"/>
        <v>0.37222555488902209</v>
      </c>
      <c r="G373" s="13"/>
    </row>
    <row r="374" spans="2:7" ht="14.25" x14ac:dyDescent="0.2">
      <c r="B374" s="15">
        <v>0.3</v>
      </c>
      <c r="C374" s="15">
        <v>-0.06</v>
      </c>
      <c r="D374" s="14">
        <v>0</v>
      </c>
      <c r="E374" s="16">
        <v>21.1</v>
      </c>
      <c r="F374" s="17">
        <f t="shared" si="5"/>
        <v>0.53794241151769639</v>
      </c>
      <c r="G374" s="13"/>
    </row>
    <row r="375" spans="2:7" ht="14.25" x14ac:dyDescent="0.2">
      <c r="B375" s="15">
        <v>0.3</v>
      </c>
      <c r="C375" s="15">
        <v>-0.04</v>
      </c>
      <c r="D375" s="14">
        <v>0</v>
      </c>
      <c r="E375" s="16">
        <v>25.9</v>
      </c>
      <c r="F375" s="17">
        <f t="shared" si="5"/>
        <v>0.6603179364127173</v>
      </c>
      <c r="G375" s="13"/>
    </row>
    <row r="376" spans="2:7" ht="14.25" x14ac:dyDescent="0.2">
      <c r="B376" s="15">
        <v>0.3</v>
      </c>
      <c r="C376" s="15">
        <v>-0.02</v>
      </c>
      <c r="D376" s="14">
        <v>0</v>
      </c>
      <c r="E376" s="16">
        <v>31.2</v>
      </c>
      <c r="F376" s="17">
        <f t="shared" si="5"/>
        <v>0.79544091181763621</v>
      </c>
      <c r="G376" s="13"/>
    </row>
    <row r="377" spans="2:7" ht="14.25" x14ac:dyDescent="0.2">
      <c r="B377" s="15">
        <v>0.3</v>
      </c>
      <c r="C377" s="15">
        <v>0</v>
      </c>
      <c r="D377" s="14">
        <v>0</v>
      </c>
      <c r="E377" s="16">
        <v>34.1</v>
      </c>
      <c r="F377" s="17">
        <f t="shared" si="5"/>
        <v>0.86937612477504478</v>
      </c>
      <c r="G377" s="13"/>
    </row>
    <row r="378" spans="2:7" ht="14.25" x14ac:dyDescent="0.2">
      <c r="B378" s="15">
        <v>0.3</v>
      </c>
      <c r="C378" s="15">
        <v>0.02</v>
      </c>
      <c r="D378" s="14">
        <v>0</v>
      </c>
      <c r="E378" s="16">
        <v>32.299999999999997</v>
      </c>
      <c r="F378" s="17">
        <f t="shared" si="5"/>
        <v>0.8234853029394118</v>
      </c>
      <c r="G378" s="13"/>
    </row>
    <row r="379" spans="2:7" ht="14.25" x14ac:dyDescent="0.2">
      <c r="B379" s="15">
        <v>0.3</v>
      </c>
      <c r="C379" s="15">
        <v>0.04</v>
      </c>
      <c r="D379" s="14">
        <v>0</v>
      </c>
      <c r="E379" s="16">
        <v>26.6</v>
      </c>
      <c r="F379" s="17">
        <f t="shared" si="5"/>
        <v>0.67816436712657457</v>
      </c>
      <c r="G379" s="13"/>
    </row>
    <row r="380" spans="2:7" ht="14.25" x14ac:dyDescent="0.2">
      <c r="B380" s="15">
        <v>0.3</v>
      </c>
      <c r="C380" s="15">
        <v>0.06</v>
      </c>
      <c r="D380" s="14">
        <v>0</v>
      </c>
      <c r="E380" s="16">
        <v>20.5</v>
      </c>
      <c r="F380" s="17">
        <f t="shared" si="5"/>
        <v>0.5226454709058187</v>
      </c>
      <c r="G380" s="13"/>
    </row>
    <row r="381" spans="2:7" ht="14.25" x14ac:dyDescent="0.2">
      <c r="B381" s="15">
        <v>0.3</v>
      </c>
      <c r="C381" s="15">
        <v>0.08</v>
      </c>
      <c r="D381" s="14">
        <v>0</v>
      </c>
      <c r="E381" s="16">
        <v>14.6</v>
      </c>
      <c r="F381" s="17">
        <f t="shared" si="5"/>
        <v>0.37222555488902209</v>
      </c>
      <c r="G381" s="13"/>
    </row>
    <row r="382" spans="2:7" ht="14.25" x14ac:dyDescent="0.2">
      <c r="B382" s="15">
        <v>0.3</v>
      </c>
      <c r="C382" s="15">
        <v>0.1</v>
      </c>
      <c r="D382" s="14">
        <v>0</v>
      </c>
      <c r="E382" s="16">
        <v>9.1</v>
      </c>
      <c r="F382" s="17">
        <f t="shared" si="5"/>
        <v>0.23200359928014391</v>
      </c>
      <c r="G382" s="13"/>
    </row>
    <row r="383" spans="2:7" ht="14.25" x14ac:dyDescent="0.2">
      <c r="B383" s="15">
        <v>0.3</v>
      </c>
      <c r="C383" s="15">
        <v>0.12</v>
      </c>
      <c r="D383" s="14">
        <v>0</v>
      </c>
      <c r="E383" s="16">
        <v>6</v>
      </c>
      <c r="F383" s="17">
        <f t="shared" si="5"/>
        <v>0.15296940611877621</v>
      </c>
      <c r="G383" s="13"/>
    </row>
    <row r="384" spans="2:7" ht="14.25" x14ac:dyDescent="0.2">
      <c r="B384" s="15">
        <v>0.3</v>
      </c>
      <c r="C384" s="15">
        <v>0.14000000000000001</v>
      </c>
      <c r="D384" s="14">
        <v>0</v>
      </c>
      <c r="E384" s="16">
        <v>3.3</v>
      </c>
      <c r="F384" s="17">
        <f t="shared" si="5"/>
        <v>8.4133173365326913E-2</v>
      </c>
      <c r="G384" s="13"/>
    </row>
    <row r="385" spans="2:7" ht="14.25" x14ac:dyDescent="0.2">
      <c r="B385" s="15">
        <v>0.3</v>
      </c>
      <c r="C385" s="15">
        <v>0.16</v>
      </c>
      <c r="D385" s="14">
        <v>0</v>
      </c>
      <c r="E385" s="16">
        <v>2.2999999999999998</v>
      </c>
      <c r="F385" s="17">
        <f t="shared" si="5"/>
        <v>5.8638272345530873E-2</v>
      </c>
      <c r="G385" s="13"/>
    </row>
    <row r="386" spans="2:7" ht="14.25" x14ac:dyDescent="0.2">
      <c r="B386" s="15">
        <v>0.3</v>
      </c>
      <c r="C386" s="15">
        <v>0.18</v>
      </c>
      <c r="D386" s="14">
        <v>0</v>
      </c>
      <c r="E386" s="16">
        <v>1.2</v>
      </c>
      <c r="F386" s="17">
        <f t="shared" ref="F386:F449" si="6">E386/$F$1</f>
        <v>3.059388122375524E-2</v>
      </c>
      <c r="G386" s="13"/>
    </row>
    <row r="387" spans="2:7" ht="14.25" x14ac:dyDescent="0.2">
      <c r="B387" s="15">
        <v>0.3</v>
      </c>
      <c r="C387" s="15">
        <v>0.2</v>
      </c>
      <c r="D387" s="14">
        <v>0</v>
      </c>
      <c r="E387" s="16">
        <v>0.6</v>
      </c>
      <c r="F387" s="17">
        <f t="shared" si="6"/>
        <v>1.529694061187762E-2</v>
      </c>
      <c r="G387" s="13"/>
    </row>
    <row r="388" spans="2:7" ht="14.25" x14ac:dyDescent="0.2">
      <c r="B388" s="15">
        <v>0.3</v>
      </c>
      <c r="C388" s="15">
        <v>0.22</v>
      </c>
      <c r="D388" s="14">
        <v>0</v>
      </c>
      <c r="E388" s="16">
        <v>0.4</v>
      </c>
      <c r="F388" s="17">
        <f t="shared" si="6"/>
        <v>1.0197960407918415E-2</v>
      </c>
      <c r="G388" s="13"/>
    </row>
    <row r="389" spans="2:7" ht="14.25" x14ac:dyDescent="0.2">
      <c r="B389" s="15">
        <v>0.45</v>
      </c>
      <c r="C389" s="15">
        <v>-0.2</v>
      </c>
      <c r="D389" s="14">
        <v>0</v>
      </c>
      <c r="E389" s="16">
        <v>1.4</v>
      </c>
      <c r="F389" s="17">
        <f t="shared" si="6"/>
        <v>3.5692861427714447E-2</v>
      </c>
      <c r="G389" s="13"/>
    </row>
    <row r="390" spans="2:7" ht="14.25" x14ac:dyDescent="0.2">
      <c r="B390" s="15">
        <v>0.45</v>
      </c>
      <c r="C390" s="15">
        <v>-0.18</v>
      </c>
      <c r="D390" s="14">
        <v>0</v>
      </c>
      <c r="E390" s="16">
        <v>2.8</v>
      </c>
      <c r="F390" s="17">
        <f t="shared" si="6"/>
        <v>7.1385722855428893E-2</v>
      </c>
      <c r="G390" s="13"/>
    </row>
    <row r="391" spans="2:7" ht="14.25" x14ac:dyDescent="0.2">
      <c r="B391" s="15">
        <v>0.45</v>
      </c>
      <c r="C391" s="15">
        <v>-0.16</v>
      </c>
      <c r="D391" s="14">
        <v>0</v>
      </c>
      <c r="E391" s="16">
        <v>4.4000000000000004</v>
      </c>
      <c r="F391" s="17">
        <f t="shared" si="6"/>
        <v>0.11217756448710256</v>
      </c>
      <c r="G391" s="13"/>
    </row>
    <row r="392" spans="2:7" ht="14.25" x14ac:dyDescent="0.2">
      <c r="B392" s="15">
        <v>0.45</v>
      </c>
      <c r="C392" s="15">
        <v>-0.14000000000000001</v>
      </c>
      <c r="D392" s="14">
        <v>0</v>
      </c>
      <c r="E392" s="16">
        <v>7.7</v>
      </c>
      <c r="F392" s="17">
        <f t="shared" si="6"/>
        <v>0.19631073785242947</v>
      </c>
      <c r="G392" s="13"/>
    </row>
    <row r="393" spans="2:7" ht="14.25" x14ac:dyDescent="0.2">
      <c r="B393" s="15">
        <v>0.45</v>
      </c>
      <c r="C393" s="15">
        <v>-0.12</v>
      </c>
      <c r="D393" s="14">
        <v>0</v>
      </c>
      <c r="E393" s="16">
        <v>9.9</v>
      </c>
      <c r="F393" s="17">
        <f t="shared" si="6"/>
        <v>0.25239952009598077</v>
      </c>
      <c r="G393" s="13"/>
    </row>
    <row r="394" spans="2:7" ht="14.25" x14ac:dyDescent="0.2">
      <c r="B394" s="15">
        <v>0.45</v>
      </c>
      <c r="C394" s="15">
        <v>-0.1</v>
      </c>
      <c r="D394" s="14">
        <v>0</v>
      </c>
      <c r="E394" s="16">
        <v>14.6</v>
      </c>
      <c r="F394" s="17">
        <f t="shared" si="6"/>
        <v>0.37222555488902209</v>
      </c>
      <c r="G394" s="13"/>
    </row>
    <row r="395" spans="2:7" ht="14.25" x14ac:dyDescent="0.2">
      <c r="B395" s="15">
        <v>0.45</v>
      </c>
      <c r="C395" s="15">
        <v>-0.08</v>
      </c>
      <c r="D395" s="14">
        <v>0</v>
      </c>
      <c r="E395" s="16">
        <v>19.100000000000001</v>
      </c>
      <c r="F395" s="17">
        <f t="shared" si="6"/>
        <v>0.48695260947810431</v>
      </c>
      <c r="G395" s="13"/>
    </row>
    <row r="396" spans="2:7" ht="14.25" x14ac:dyDescent="0.2">
      <c r="B396" s="15">
        <v>0.45</v>
      </c>
      <c r="C396" s="15">
        <v>-0.06</v>
      </c>
      <c r="D396" s="14">
        <v>0</v>
      </c>
      <c r="E396" s="16">
        <v>23.7</v>
      </c>
      <c r="F396" s="17">
        <f t="shared" si="6"/>
        <v>0.60422915416916601</v>
      </c>
      <c r="G396" s="13"/>
    </row>
    <row r="397" spans="2:7" ht="14.25" x14ac:dyDescent="0.2">
      <c r="B397" s="15">
        <v>0.45</v>
      </c>
      <c r="C397" s="15">
        <v>-0.04</v>
      </c>
      <c r="D397" s="14">
        <v>0</v>
      </c>
      <c r="E397" s="16">
        <v>25.6</v>
      </c>
      <c r="F397" s="17">
        <f t="shared" si="6"/>
        <v>0.65266946610677856</v>
      </c>
      <c r="G397" s="13"/>
    </row>
    <row r="398" spans="2:7" ht="14.25" x14ac:dyDescent="0.2">
      <c r="B398" s="15">
        <v>0.45</v>
      </c>
      <c r="C398" s="15">
        <v>-0.02</v>
      </c>
      <c r="D398" s="14">
        <v>0</v>
      </c>
      <c r="E398" s="16">
        <v>28</v>
      </c>
      <c r="F398" s="17">
        <f t="shared" si="6"/>
        <v>0.71385722855428901</v>
      </c>
      <c r="G398" s="13"/>
    </row>
    <row r="399" spans="2:7" ht="14.25" x14ac:dyDescent="0.2">
      <c r="B399" s="15">
        <v>0.45</v>
      </c>
      <c r="C399" s="15">
        <v>0</v>
      </c>
      <c r="D399" s="14">
        <v>0</v>
      </c>
      <c r="E399" s="16">
        <v>29.5</v>
      </c>
      <c r="F399" s="17">
        <f t="shared" si="6"/>
        <v>0.75209958008398303</v>
      </c>
      <c r="G399" s="13"/>
    </row>
    <row r="400" spans="2:7" ht="14.25" x14ac:dyDescent="0.2">
      <c r="B400" s="15">
        <v>0.45</v>
      </c>
      <c r="C400" s="15">
        <v>0.02</v>
      </c>
      <c r="D400" s="14">
        <v>0</v>
      </c>
      <c r="E400" s="16">
        <v>28.6</v>
      </c>
      <c r="F400" s="17">
        <f t="shared" si="6"/>
        <v>0.7291541691661666</v>
      </c>
      <c r="G400" s="13"/>
    </row>
    <row r="401" spans="2:7" ht="14.25" x14ac:dyDescent="0.2">
      <c r="B401" s="15">
        <v>0.45</v>
      </c>
      <c r="C401" s="15">
        <v>0.04</v>
      </c>
      <c r="D401" s="14">
        <v>0</v>
      </c>
      <c r="E401" s="16">
        <v>25.5</v>
      </c>
      <c r="F401" s="17">
        <f t="shared" si="6"/>
        <v>0.65011997600479887</v>
      </c>
      <c r="G401" s="13"/>
    </row>
    <row r="402" spans="2:7" ht="14.25" x14ac:dyDescent="0.2">
      <c r="B402" s="15">
        <v>0.45</v>
      </c>
      <c r="C402" s="15">
        <v>0.06</v>
      </c>
      <c r="D402" s="14">
        <v>0</v>
      </c>
      <c r="E402" s="16">
        <v>21.9</v>
      </c>
      <c r="F402" s="17">
        <f t="shared" si="6"/>
        <v>0.55833833233353314</v>
      </c>
      <c r="G402" s="13"/>
    </row>
    <row r="403" spans="2:7" ht="14.25" x14ac:dyDescent="0.2">
      <c r="B403" s="15">
        <v>0.45</v>
      </c>
      <c r="C403" s="15">
        <v>0.08</v>
      </c>
      <c r="D403" s="14">
        <v>0</v>
      </c>
      <c r="E403" s="16">
        <v>19.3</v>
      </c>
      <c r="F403" s="17">
        <f t="shared" si="6"/>
        <v>0.49205158968206347</v>
      </c>
      <c r="G403" s="13"/>
    </row>
    <row r="404" spans="2:7" ht="14.25" x14ac:dyDescent="0.2">
      <c r="B404" s="15">
        <v>0.45</v>
      </c>
      <c r="C404" s="15">
        <v>0.1</v>
      </c>
      <c r="D404" s="14">
        <v>0</v>
      </c>
      <c r="E404" s="16">
        <v>14.7</v>
      </c>
      <c r="F404" s="17">
        <f t="shared" si="6"/>
        <v>0.37477504499100167</v>
      </c>
      <c r="G404" s="13"/>
    </row>
    <row r="405" spans="2:7" ht="14.25" x14ac:dyDescent="0.2">
      <c r="B405" s="15">
        <v>0.45</v>
      </c>
      <c r="C405" s="15">
        <v>0.12</v>
      </c>
      <c r="D405" s="14">
        <v>0</v>
      </c>
      <c r="E405" s="16">
        <v>10.9</v>
      </c>
      <c r="F405" s="17">
        <f t="shared" si="6"/>
        <v>0.27789442111577678</v>
      </c>
      <c r="G405" s="13"/>
    </row>
    <row r="406" spans="2:7" ht="14.25" x14ac:dyDescent="0.2">
      <c r="B406" s="15">
        <v>0.45</v>
      </c>
      <c r="C406" s="15">
        <v>0.14000000000000001</v>
      </c>
      <c r="D406" s="14">
        <v>0</v>
      </c>
      <c r="E406" s="16">
        <v>7.4</v>
      </c>
      <c r="F406" s="17">
        <f t="shared" si="6"/>
        <v>0.18866226754649065</v>
      </c>
      <c r="G406" s="13"/>
    </row>
    <row r="407" spans="2:7" ht="14.25" x14ac:dyDescent="0.2">
      <c r="B407" s="15">
        <v>0.45</v>
      </c>
      <c r="C407" s="15">
        <v>0.16</v>
      </c>
      <c r="D407" s="14">
        <v>0</v>
      </c>
      <c r="E407" s="16">
        <v>5.6</v>
      </c>
      <c r="F407" s="17">
        <f t="shared" si="6"/>
        <v>0.14277144571085779</v>
      </c>
      <c r="G407" s="13"/>
    </row>
    <row r="408" spans="2:7" ht="14.25" x14ac:dyDescent="0.2">
      <c r="B408" s="15">
        <v>0.45</v>
      </c>
      <c r="C408" s="15">
        <v>0.18</v>
      </c>
      <c r="D408" s="14">
        <v>0</v>
      </c>
      <c r="E408" s="16">
        <v>3.5</v>
      </c>
      <c r="F408" s="17">
        <f t="shared" si="6"/>
        <v>8.9232153569286127E-2</v>
      </c>
      <c r="G408" s="13"/>
    </row>
    <row r="409" spans="2:7" ht="14.25" x14ac:dyDescent="0.2">
      <c r="B409" s="15">
        <v>0.45</v>
      </c>
      <c r="C409" s="15">
        <v>0.2</v>
      </c>
      <c r="D409" s="14">
        <v>0</v>
      </c>
      <c r="E409" s="16">
        <v>1.9</v>
      </c>
      <c r="F409" s="17">
        <f t="shared" si="6"/>
        <v>4.844031193761246E-2</v>
      </c>
      <c r="G409" s="13"/>
    </row>
    <row r="410" spans="2:7" ht="14.25" x14ac:dyDescent="0.2">
      <c r="B410" s="15">
        <v>0.45</v>
      </c>
      <c r="C410" s="15">
        <v>0.22</v>
      </c>
      <c r="D410" s="14">
        <v>0</v>
      </c>
      <c r="E410" s="16">
        <v>1</v>
      </c>
      <c r="F410" s="17">
        <f t="shared" si="6"/>
        <v>2.5494901019796033E-2</v>
      </c>
      <c r="G410" s="13"/>
    </row>
    <row r="411" spans="2:7" ht="14.25" x14ac:dyDescent="0.2">
      <c r="B411" s="15">
        <v>0.6</v>
      </c>
      <c r="C411" s="15">
        <v>-0.44</v>
      </c>
      <c r="D411" s="14">
        <v>0</v>
      </c>
      <c r="E411" s="16">
        <v>0.3</v>
      </c>
      <c r="F411" s="17">
        <f t="shared" si="6"/>
        <v>7.64847030593881E-3</v>
      </c>
      <c r="G411" s="13"/>
    </row>
    <row r="412" spans="2:7" ht="14.25" x14ac:dyDescent="0.2">
      <c r="B412" s="15">
        <v>0.6</v>
      </c>
      <c r="C412" s="15">
        <v>-0.4</v>
      </c>
      <c r="D412" s="14">
        <v>0</v>
      </c>
      <c r="E412" s="16">
        <v>0.3</v>
      </c>
      <c r="F412" s="17">
        <f t="shared" si="6"/>
        <v>7.64847030593881E-3</v>
      </c>
      <c r="G412" s="13"/>
    </row>
    <row r="413" spans="2:7" ht="14.25" x14ac:dyDescent="0.2">
      <c r="B413" s="15">
        <v>0.6</v>
      </c>
      <c r="C413" s="15">
        <v>-0.36</v>
      </c>
      <c r="D413" s="14">
        <v>0</v>
      </c>
      <c r="E413" s="16">
        <v>0.3</v>
      </c>
      <c r="F413" s="17">
        <f t="shared" si="6"/>
        <v>7.64847030593881E-3</v>
      </c>
      <c r="G413" s="13"/>
    </row>
    <row r="414" spans="2:7" ht="14.25" x14ac:dyDescent="0.2">
      <c r="B414" s="15">
        <v>0.6</v>
      </c>
      <c r="C414" s="15">
        <v>-0.32</v>
      </c>
      <c r="D414" s="14">
        <v>0</v>
      </c>
      <c r="E414" s="16">
        <v>0.3</v>
      </c>
      <c r="F414" s="17">
        <f t="shared" si="6"/>
        <v>7.64847030593881E-3</v>
      </c>
      <c r="G414" s="13"/>
    </row>
    <row r="415" spans="2:7" ht="14.25" x14ac:dyDescent="0.2">
      <c r="B415" s="15">
        <v>0.6</v>
      </c>
      <c r="C415" s="15">
        <v>-0.28000000000000003</v>
      </c>
      <c r="D415" s="14">
        <v>0</v>
      </c>
      <c r="E415" s="16">
        <v>0.3</v>
      </c>
      <c r="F415" s="17">
        <f t="shared" si="6"/>
        <v>7.64847030593881E-3</v>
      </c>
      <c r="G415" s="13"/>
    </row>
    <row r="416" spans="2:7" ht="14.25" x14ac:dyDescent="0.2">
      <c r="B416" s="15">
        <v>0.6</v>
      </c>
      <c r="C416" s="15">
        <v>-0.24</v>
      </c>
      <c r="D416" s="14">
        <v>0</v>
      </c>
      <c r="E416" s="16">
        <v>0.5</v>
      </c>
      <c r="F416" s="17">
        <f t="shared" si="6"/>
        <v>1.2747450509898017E-2</v>
      </c>
      <c r="G416" s="13"/>
    </row>
    <row r="417" spans="2:7" ht="14.25" x14ac:dyDescent="0.2">
      <c r="B417" s="15">
        <v>0.6</v>
      </c>
      <c r="C417" s="15">
        <v>-0.2</v>
      </c>
      <c r="D417" s="14">
        <v>0</v>
      </c>
      <c r="E417" s="16">
        <v>1.3</v>
      </c>
      <c r="F417" s="17">
        <f t="shared" si="6"/>
        <v>3.3143371325734847E-2</v>
      </c>
      <c r="G417" s="13"/>
    </row>
    <row r="418" spans="2:7" ht="14.25" x14ac:dyDescent="0.2">
      <c r="B418" s="15">
        <v>0.6</v>
      </c>
      <c r="C418" s="15">
        <v>-0.16</v>
      </c>
      <c r="D418" s="14">
        <v>0</v>
      </c>
      <c r="E418" s="16">
        <v>4.5</v>
      </c>
      <c r="F418" s="17">
        <f t="shared" si="6"/>
        <v>0.11472705458908215</v>
      </c>
      <c r="G418" s="13"/>
    </row>
    <row r="419" spans="2:7" ht="14.25" x14ac:dyDescent="0.2">
      <c r="B419" s="15">
        <v>0.6</v>
      </c>
      <c r="C419" s="15">
        <v>-0.12</v>
      </c>
      <c r="D419" s="14">
        <v>0</v>
      </c>
      <c r="E419" s="16">
        <v>10.1</v>
      </c>
      <c r="F419" s="17">
        <f t="shared" si="6"/>
        <v>0.25749850029993993</v>
      </c>
      <c r="G419" s="13"/>
    </row>
    <row r="420" spans="2:7" ht="14.25" x14ac:dyDescent="0.2">
      <c r="B420" s="15">
        <v>0.6</v>
      </c>
      <c r="C420" s="15">
        <v>-0.08</v>
      </c>
      <c r="D420" s="14">
        <v>0</v>
      </c>
      <c r="E420" s="16">
        <v>16.2</v>
      </c>
      <c r="F420" s="17">
        <f t="shared" si="6"/>
        <v>0.41301739652069575</v>
      </c>
      <c r="G420" s="13"/>
    </row>
    <row r="421" spans="2:7" ht="14.25" x14ac:dyDescent="0.2">
      <c r="B421" s="15">
        <v>0.6</v>
      </c>
      <c r="C421" s="15">
        <v>-0.04</v>
      </c>
      <c r="D421" s="14">
        <v>0</v>
      </c>
      <c r="E421" s="16">
        <v>22.5</v>
      </c>
      <c r="F421" s="17">
        <f t="shared" si="6"/>
        <v>0.57363527294541072</v>
      </c>
      <c r="G421" s="13"/>
    </row>
    <row r="422" spans="2:7" ht="14.25" x14ac:dyDescent="0.2">
      <c r="B422" s="15">
        <v>0.6</v>
      </c>
      <c r="C422" s="15">
        <v>0</v>
      </c>
      <c r="D422" s="14">
        <v>0</v>
      </c>
      <c r="E422" s="16">
        <v>26.5</v>
      </c>
      <c r="F422" s="17">
        <f t="shared" si="6"/>
        <v>0.67561487702459488</v>
      </c>
      <c r="G422" s="13"/>
    </row>
    <row r="423" spans="2:7" ht="14.25" x14ac:dyDescent="0.2">
      <c r="B423" s="15">
        <v>0.6</v>
      </c>
      <c r="C423" s="15">
        <v>0.04</v>
      </c>
      <c r="D423" s="14">
        <v>0</v>
      </c>
      <c r="E423" s="16">
        <v>23.9</v>
      </c>
      <c r="F423" s="17">
        <f t="shared" si="6"/>
        <v>0.60932813437312516</v>
      </c>
      <c r="G423" s="13"/>
    </row>
    <row r="424" spans="2:7" ht="14.25" x14ac:dyDescent="0.2">
      <c r="B424" s="15">
        <v>0.6</v>
      </c>
      <c r="C424" s="15">
        <v>0.08</v>
      </c>
      <c r="D424" s="14">
        <v>0</v>
      </c>
      <c r="E424" s="16">
        <v>18.2</v>
      </c>
      <c r="F424" s="17">
        <f t="shared" si="6"/>
        <v>0.46400719856028783</v>
      </c>
      <c r="G424" s="13"/>
    </row>
    <row r="425" spans="2:7" ht="14.25" x14ac:dyDescent="0.2">
      <c r="B425" s="15">
        <v>0.6</v>
      </c>
      <c r="C425" s="15">
        <v>0.12</v>
      </c>
      <c r="D425" s="14">
        <v>0</v>
      </c>
      <c r="E425" s="16">
        <v>11.1</v>
      </c>
      <c r="F425" s="17">
        <f t="shared" si="6"/>
        <v>0.28299340131973599</v>
      </c>
      <c r="G425" s="13"/>
    </row>
    <row r="426" spans="2:7" ht="14.25" x14ac:dyDescent="0.2">
      <c r="B426" s="15">
        <v>0.6</v>
      </c>
      <c r="C426" s="15">
        <v>0.16</v>
      </c>
      <c r="D426" s="14">
        <v>0</v>
      </c>
      <c r="E426" s="16">
        <v>5.9</v>
      </c>
      <c r="F426" s="17">
        <f t="shared" si="6"/>
        <v>0.15041991601679661</v>
      </c>
      <c r="G426" s="13"/>
    </row>
    <row r="427" spans="2:7" ht="14.25" x14ac:dyDescent="0.2">
      <c r="B427" s="15">
        <v>0.6</v>
      </c>
      <c r="C427" s="15">
        <v>0.2</v>
      </c>
      <c r="D427" s="14">
        <v>0</v>
      </c>
      <c r="E427" s="16">
        <v>2.1</v>
      </c>
      <c r="F427" s="17">
        <f t="shared" si="6"/>
        <v>5.3539292141571673E-2</v>
      </c>
      <c r="G427" s="13"/>
    </row>
    <row r="428" spans="2:7" ht="14.25" x14ac:dyDescent="0.2">
      <c r="B428" s="15">
        <v>0.6</v>
      </c>
      <c r="C428" s="15">
        <v>0.24</v>
      </c>
      <c r="D428" s="14">
        <v>0</v>
      </c>
      <c r="E428" s="16">
        <v>0.6</v>
      </c>
      <c r="F428" s="17">
        <f t="shared" si="6"/>
        <v>1.529694061187762E-2</v>
      </c>
      <c r="G428" s="13"/>
    </row>
    <row r="429" spans="2:7" ht="14.25" x14ac:dyDescent="0.2">
      <c r="B429" s="15">
        <v>0.6</v>
      </c>
      <c r="C429" s="15">
        <v>0.28000000000000003</v>
      </c>
      <c r="D429" s="14">
        <v>0</v>
      </c>
      <c r="E429" s="16">
        <v>0.4</v>
      </c>
      <c r="F429" s="17">
        <f t="shared" si="6"/>
        <v>1.0197960407918415E-2</v>
      </c>
      <c r="G429" s="13"/>
    </row>
    <row r="430" spans="2:7" ht="14.25" x14ac:dyDescent="0.2">
      <c r="B430" s="15">
        <v>0.6</v>
      </c>
      <c r="C430" s="15">
        <v>0.32</v>
      </c>
      <c r="D430" s="14">
        <v>0</v>
      </c>
      <c r="E430" s="16">
        <v>0.3</v>
      </c>
      <c r="F430" s="17">
        <f t="shared" si="6"/>
        <v>7.64847030593881E-3</v>
      </c>
      <c r="G430" s="13"/>
    </row>
    <row r="431" spans="2:7" ht="14.25" x14ac:dyDescent="0.2">
      <c r="B431" s="15">
        <v>0.6</v>
      </c>
      <c r="C431" s="15">
        <v>0.36</v>
      </c>
      <c r="D431" s="14">
        <v>0</v>
      </c>
      <c r="E431" s="16">
        <v>0.5</v>
      </c>
      <c r="F431" s="17">
        <f t="shared" si="6"/>
        <v>1.2747450509898017E-2</v>
      </c>
      <c r="G431" s="13"/>
    </row>
    <row r="432" spans="2:7" ht="14.25" x14ac:dyDescent="0.2">
      <c r="B432" s="15">
        <v>0.6</v>
      </c>
      <c r="C432" s="15">
        <v>0.4</v>
      </c>
      <c r="D432" s="14">
        <v>0</v>
      </c>
      <c r="E432" s="16">
        <v>0.4</v>
      </c>
      <c r="F432" s="17">
        <f t="shared" si="6"/>
        <v>1.0197960407918415E-2</v>
      </c>
      <c r="G432" s="13"/>
    </row>
    <row r="433" spans="2:7" ht="14.25" x14ac:dyDescent="0.2">
      <c r="B433" s="15">
        <v>0.9</v>
      </c>
      <c r="C433" s="15">
        <v>-0.44</v>
      </c>
      <c r="D433" s="14">
        <v>0</v>
      </c>
      <c r="E433" s="16">
        <v>0.2</v>
      </c>
      <c r="F433" s="17">
        <f t="shared" si="6"/>
        <v>5.0989802039592075E-3</v>
      </c>
      <c r="G433" s="13"/>
    </row>
    <row r="434" spans="2:7" ht="14.25" x14ac:dyDescent="0.2">
      <c r="B434" s="15">
        <v>0.9</v>
      </c>
      <c r="C434" s="15">
        <v>-0.4</v>
      </c>
      <c r="D434" s="14">
        <v>0</v>
      </c>
      <c r="E434" s="16">
        <v>0.3</v>
      </c>
      <c r="F434" s="17">
        <f t="shared" si="6"/>
        <v>7.64847030593881E-3</v>
      </c>
      <c r="G434" s="13"/>
    </row>
    <row r="435" spans="2:7" ht="14.25" x14ac:dyDescent="0.2">
      <c r="B435" s="15">
        <v>0.9</v>
      </c>
      <c r="C435" s="15">
        <v>-0.36</v>
      </c>
      <c r="D435" s="14">
        <v>0</v>
      </c>
      <c r="E435" s="16">
        <v>0.3</v>
      </c>
      <c r="F435" s="17">
        <f t="shared" si="6"/>
        <v>7.64847030593881E-3</v>
      </c>
      <c r="G435" s="13"/>
    </row>
    <row r="436" spans="2:7" ht="14.25" x14ac:dyDescent="0.2">
      <c r="B436" s="15">
        <v>0.9</v>
      </c>
      <c r="C436" s="15">
        <v>-0.32</v>
      </c>
      <c r="D436" s="14">
        <v>0</v>
      </c>
      <c r="E436" s="16">
        <v>0.4</v>
      </c>
      <c r="F436" s="17">
        <f t="shared" si="6"/>
        <v>1.0197960407918415E-2</v>
      </c>
      <c r="G436" s="13"/>
    </row>
    <row r="437" spans="2:7" ht="14.25" x14ac:dyDescent="0.2">
      <c r="B437" s="15">
        <v>0.9</v>
      </c>
      <c r="C437" s="15">
        <v>-0.28000000000000003</v>
      </c>
      <c r="D437" s="14">
        <v>0</v>
      </c>
      <c r="E437" s="16">
        <v>0.7</v>
      </c>
      <c r="F437" s="17">
        <f t="shared" si="6"/>
        <v>1.7846430713857223E-2</v>
      </c>
      <c r="G437" s="13"/>
    </row>
    <row r="438" spans="2:7" ht="14.25" x14ac:dyDescent="0.2">
      <c r="B438" s="15">
        <v>0.9</v>
      </c>
      <c r="C438" s="15">
        <v>-0.24</v>
      </c>
      <c r="D438" s="14">
        <v>0</v>
      </c>
      <c r="E438" s="16">
        <v>1.6</v>
      </c>
      <c r="F438" s="17">
        <f t="shared" si="6"/>
        <v>4.079184163167366E-2</v>
      </c>
      <c r="G438" s="13"/>
    </row>
    <row r="439" spans="2:7" ht="14.25" x14ac:dyDescent="0.2">
      <c r="B439" s="15">
        <v>0.9</v>
      </c>
      <c r="C439" s="15">
        <v>-0.2</v>
      </c>
      <c r="D439" s="14">
        <v>0</v>
      </c>
      <c r="E439" s="16">
        <v>3.4</v>
      </c>
      <c r="F439" s="17">
        <f t="shared" si="6"/>
        <v>8.668266346730652E-2</v>
      </c>
      <c r="G439" s="13"/>
    </row>
    <row r="440" spans="2:7" ht="14.25" x14ac:dyDescent="0.2">
      <c r="B440" s="15">
        <v>0.9</v>
      </c>
      <c r="C440" s="15">
        <v>-0.16</v>
      </c>
      <c r="D440" s="14">
        <v>0</v>
      </c>
      <c r="E440" s="16">
        <v>7.2</v>
      </c>
      <c r="F440" s="17">
        <f t="shared" si="6"/>
        <v>0.18356328734253144</v>
      </c>
      <c r="G440" s="13"/>
    </row>
    <row r="441" spans="2:7" ht="14.25" x14ac:dyDescent="0.2">
      <c r="B441" s="15">
        <v>0.9</v>
      </c>
      <c r="C441" s="15">
        <v>-0.12</v>
      </c>
      <c r="D441" s="14">
        <v>0</v>
      </c>
      <c r="E441" s="16">
        <v>11.5</v>
      </c>
      <c r="F441" s="17">
        <f t="shared" si="6"/>
        <v>0.29319136172765442</v>
      </c>
      <c r="G441" s="13"/>
    </row>
    <row r="442" spans="2:7" ht="14.25" x14ac:dyDescent="0.2">
      <c r="B442" s="15">
        <v>0.9</v>
      </c>
      <c r="C442" s="15">
        <v>-0.08</v>
      </c>
      <c r="D442" s="14">
        <v>0</v>
      </c>
      <c r="E442" s="16">
        <v>15.6</v>
      </c>
      <c r="F442" s="17">
        <f t="shared" si="6"/>
        <v>0.3977204559088181</v>
      </c>
      <c r="G442" s="13"/>
    </row>
    <row r="443" spans="2:7" ht="14.25" x14ac:dyDescent="0.2">
      <c r="B443" s="15">
        <v>0.9</v>
      </c>
      <c r="C443" s="15">
        <v>-0.04</v>
      </c>
      <c r="D443" s="14">
        <v>0</v>
      </c>
      <c r="E443" s="16">
        <v>18.600000000000001</v>
      </c>
      <c r="F443" s="17">
        <f t="shared" si="6"/>
        <v>0.47420515896820625</v>
      </c>
      <c r="G443" s="13"/>
    </row>
    <row r="444" spans="2:7" ht="14.25" x14ac:dyDescent="0.2">
      <c r="B444" s="15">
        <v>0.9</v>
      </c>
      <c r="C444" s="15">
        <v>0</v>
      </c>
      <c r="D444" s="14">
        <v>0</v>
      </c>
      <c r="E444" s="16">
        <v>20.7</v>
      </c>
      <c r="F444" s="17">
        <f t="shared" si="6"/>
        <v>0.52774445110977786</v>
      </c>
      <c r="G444" s="13"/>
    </row>
    <row r="445" spans="2:7" ht="14.25" x14ac:dyDescent="0.2">
      <c r="B445" s="15">
        <v>0.9</v>
      </c>
      <c r="C445" s="15">
        <v>0.04</v>
      </c>
      <c r="D445" s="14">
        <v>0</v>
      </c>
      <c r="E445" s="16">
        <v>19.399999999999999</v>
      </c>
      <c r="F445" s="17">
        <f t="shared" si="6"/>
        <v>0.49460107978404305</v>
      </c>
      <c r="G445" s="13"/>
    </row>
    <row r="446" spans="2:7" ht="14.25" x14ac:dyDescent="0.2">
      <c r="B446" s="15">
        <v>0.9</v>
      </c>
      <c r="C446" s="15">
        <v>0.08</v>
      </c>
      <c r="D446" s="14">
        <v>0</v>
      </c>
      <c r="E446" s="16">
        <v>16.399999999999999</v>
      </c>
      <c r="F446" s="17">
        <f t="shared" si="6"/>
        <v>0.4181163767246549</v>
      </c>
      <c r="G446" s="13"/>
    </row>
    <row r="447" spans="2:7" ht="14.25" x14ac:dyDescent="0.2">
      <c r="B447" s="15">
        <v>0.9</v>
      </c>
      <c r="C447" s="15">
        <v>0.12</v>
      </c>
      <c r="D447" s="14">
        <v>0</v>
      </c>
      <c r="E447" s="16">
        <v>12.1</v>
      </c>
      <c r="F447" s="17">
        <f t="shared" si="6"/>
        <v>0.30848830233953201</v>
      </c>
      <c r="G447" s="13"/>
    </row>
    <row r="448" spans="2:7" ht="14.25" x14ac:dyDescent="0.2">
      <c r="B448" s="15">
        <v>0.9</v>
      </c>
      <c r="C448" s="15">
        <v>0.16</v>
      </c>
      <c r="D448" s="14">
        <v>0</v>
      </c>
      <c r="E448" s="16">
        <v>8</v>
      </c>
      <c r="F448" s="17">
        <f t="shared" si="6"/>
        <v>0.20395920815836827</v>
      </c>
      <c r="G448" s="13"/>
    </row>
    <row r="449" spans="2:7" ht="14.25" x14ac:dyDescent="0.2">
      <c r="B449" s="15">
        <v>0.9</v>
      </c>
      <c r="C449" s="15">
        <v>0.2</v>
      </c>
      <c r="D449" s="14">
        <v>0</v>
      </c>
      <c r="E449" s="16">
        <v>4</v>
      </c>
      <c r="F449" s="17">
        <f t="shared" si="6"/>
        <v>0.10197960407918413</v>
      </c>
      <c r="G449" s="13"/>
    </row>
    <row r="450" spans="2:7" ht="14.25" x14ac:dyDescent="0.2">
      <c r="B450" s="15">
        <v>0.9</v>
      </c>
      <c r="C450" s="15">
        <v>0.24</v>
      </c>
      <c r="D450" s="14">
        <v>0</v>
      </c>
      <c r="E450" s="16">
        <v>1.5</v>
      </c>
      <c r="F450" s="17">
        <f t="shared" ref="F450:F513" si="7">E450/$F$1</f>
        <v>3.8242351529694053E-2</v>
      </c>
      <c r="G450" s="13"/>
    </row>
    <row r="451" spans="2:7" ht="14.25" x14ac:dyDescent="0.2">
      <c r="B451" s="15">
        <v>0.9</v>
      </c>
      <c r="C451" s="15">
        <v>0.28000000000000003</v>
      </c>
      <c r="D451" s="14">
        <v>0</v>
      </c>
      <c r="E451" s="16">
        <v>0.7</v>
      </c>
      <c r="F451" s="17">
        <f t="shared" si="7"/>
        <v>1.7846430713857223E-2</v>
      </c>
      <c r="G451" s="13"/>
    </row>
    <row r="452" spans="2:7" ht="14.25" x14ac:dyDescent="0.2">
      <c r="B452" s="15">
        <v>0.9</v>
      </c>
      <c r="C452" s="15">
        <v>0.32</v>
      </c>
      <c r="D452" s="14">
        <v>0</v>
      </c>
      <c r="E452" s="16">
        <v>0.4</v>
      </c>
      <c r="F452" s="17">
        <f t="shared" si="7"/>
        <v>1.0197960407918415E-2</v>
      </c>
      <c r="G452" s="13"/>
    </row>
    <row r="453" spans="2:7" ht="14.25" x14ac:dyDescent="0.2">
      <c r="B453" s="15">
        <v>0.9</v>
      </c>
      <c r="C453" s="15">
        <v>0.36</v>
      </c>
      <c r="D453" s="14">
        <v>0</v>
      </c>
      <c r="E453" s="16">
        <v>0.4</v>
      </c>
      <c r="F453" s="17">
        <f t="shared" si="7"/>
        <v>1.0197960407918415E-2</v>
      </c>
      <c r="G453" s="13"/>
    </row>
    <row r="454" spans="2:7" ht="14.25" x14ac:dyDescent="0.2">
      <c r="B454" s="15">
        <v>0.9</v>
      </c>
      <c r="C454" s="15">
        <v>0.4</v>
      </c>
      <c r="D454" s="14">
        <v>0</v>
      </c>
      <c r="E454" s="16">
        <v>0.3</v>
      </c>
      <c r="F454" s="17">
        <f t="shared" si="7"/>
        <v>7.64847030593881E-3</v>
      </c>
      <c r="G454" s="13"/>
    </row>
    <row r="455" spans="2:7" ht="14.25" x14ac:dyDescent="0.2">
      <c r="B455" s="15">
        <v>1.2</v>
      </c>
      <c r="C455" s="15">
        <v>-0.44</v>
      </c>
      <c r="D455" s="14">
        <v>0</v>
      </c>
      <c r="E455" s="16">
        <v>0.2</v>
      </c>
      <c r="F455" s="17">
        <f t="shared" si="7"/>
        <v>5.0989802039592075E-3</v>
      </c>
      <c r="G455" s="13"/>
    </row>
    <row r="456" spans="2:7" ht="14.25" x14ac:dyDescent="0.2">
      <c r="B456" s="15">
        <v>1.2</v>
      </c>
      <c r="C456" s="15">
        <v>-0.4</v>
      </c>
      <c r="D456" s="14">
        <v>0</v>
      </c>
      <c r="E456" s="16">
        <v>0.3</v>
      </c>
      <c r="F456" s="17">
        <f t="shared" si="7"/>
        <v>7.64847030593881E-3</v>
      </c>
      <c r="G456" s="13"/>
    </row>
    <row r="457" spans="2:7" ht="14.25" x14ac:dyDescent="0.2">
      <c r="B457" s="15">
        <v>1.2</v>
      </c>
      <c r="C457" s="15">
        <v>-0.36</v>
      </c>
      <c r="D457" s="14">
        <v>0</v>
      </c>
      <c r="E457" s="16">
        <v>0.3</v>
      </c>
      <c r="F457" s="17">
        <f t="shared" si="7"/>
        <v>7.64847030593881E-3</v>
      </c>
      <c r="G457" s="13"/>
    </row>
    <row r="458" spans="2:7" ht="14.25" x14ac:dyDescent="0.2">
      <c r="B458" s="15">
        <v>1.2</v>
      </c>
      <c r="C458" s="15">
        <v>-0.32</v>
      </c>
      <c r="D458" s="14">
        <v>0</v>
      </c>
      <c r="E458" s="16">
        <v>0.5</v>
      </c>
      <c r="F458" s="17">
        <f t="shared" si="7"/>
        <v>1.2747450509898017E-2</v>
      </c>
      <c r="G458" s="13"/>
    </row>
    <row r="459" spans="2:7" ht="14.25" x14ac:dyDescent="0.2">
      <c r="B459" s="15">
        <v>1.2</v>
      </c>
      <c r="C459" s="15">
        <v>-0.28000000000000003</v>
      </c>
      <c r="D459" s="14">
        <v>0</v>
      </c>
      <c r="E459" s="16">
        <v>0.8</v>
      </c>
      <c r="F459" s="17">
        <f t="shared" si="7"/>
        <v>2.039592081583683E-2</v>
      </c>
      <c r="G459" s="13"/>
    </row>
    <row r="460" spans="2:7" ht="14.25" x14ac:dyDescent="0.2">
      <c r="B460" s="15">
        <v>1.2</v>
      </c>
      <c r="C460" s="15">
        <v>-0.24</v>
      </c>
      <c r="D460" s="14">
        <v>0</v>
      </c>
      <c r="E460" s="16">
        <v>2</v>
      </c>
      <c r="F460" s="17">
        <f t="shared" si="7"/>
        <v>5.0989802039592066E-2</v>
      </c>
      <c r="G460" s="13"/>
    </row>
    <row r="461" spans="2:7" ht="14.25" x14ac:dyDescent="0.2">
      <c r="B461" s="15">
        <v>1.2</v>
      </c>
      <c r="C461" s="15">
        <v>-0.2</v>
      </c>
      <c r="D461" s="14">
        <v>0</v>
      </c>
      <c r="E461" s="16">
        <v>4.2</v>
      </c>
      <c r="F461" s="17">
        <f t="shared" si="7"/>
        <v>0.10707858428314335</v>
      </c>
      <c r="G461" s="13"/>
    </row>
    <row r="462" spans="2:7" ht="14.25" x14ac:dyDescent="0.2">
      <c r="B462" s="15">
        <v>1.2</v>
      </c>
      <c r="C462" s="15">
        <v>-0.16</v>
      </c>
      <c r="D462" s="14">
        <v>0</v>
      </c>
      <c r="E462" s="16">
        <v>8.5</v>
      </c>
      <c r="F462" s="17">
        <f t="shared" si="7"/>
        <v>0.2167066586682663</v>
      </c>
      <c r="G462" s="13"/>
    </row>
    <row r="463" spans="2:7" ht="14.25" x14ac:dyDescent="0.2">
      <c r="B463" s="15">
        <v>1.2</v>
      </c>
      <c r="C463" s="15">
        <v>-0.12</v>
      </c>
      <c r="D463" s="14">
        <v>0</v>
      </c>
      <c r="E463" s="16">
        <v>12</v>
      </c>
      <c r="F463" s="17">
        <f t="shared" si="7"/>
        <v>0.30593881223755243</v>
      </c>
      <c r="G463" s="13"/>
    </row>
    <row r="464" spans="2:7" ht="14.25" x14ac:dyDescent="0.2">
      <c r="B464" s="15">
        <v>1.2</v>
      </c>
      <c r="C464" s="15">
        <v>-0.08</v>
      </c>
      <c r="D464" s="14">
        <v>0</v>
      </c>
      <c r="E464" s="16">
        <v>14.5</v>
      </c>
      <c r="F464" s="17">
        <f t="shared" si="7"/>
        <v>0.36967606478704251</v>
      </c>
      <c r="G464" s="13"/>
    </row>
    <row r="465" spans="2:7" ht="14.25" x14ac:dyDescent="0.2">
      <c r="B465" s="15">
        <v>1.2</v>
      </c>
      <c r="C465" s="15">
        <v>-0.04</v>
      </c>
      <c r="D465" s="14">
        <v>0</v>
      </c>
      <c r="E465" s="16">
        <v>16.5</v>
      </c>
      <c r="F465" s="17">
        <f t="shared" si="7"/>
        <v>0.42066586682663459</v>
      </c>
      <c r="G465" s="13"/>
    </row>
    <row r="466" spans="2:7" ht="14.25" x14ac:dyDescent="0.2">
      <c r="B466" s="15">
        <v>1.2</v>
      </c>
      <c r="C466" s="15">
        <v>0</v>
      </c>
      <c r="D466" s="14">
        <v>0</v>
      </c>
      <c r="E466" s="16">
        <v>17</v>
      </c>
      <c r="F466" s="17">
        <f t="shared" si="7"/>
        <v>0.4334133173365326</v>
      </c>
      <c r="G466" s="13"/>
    </row>
    <row r="467" spans="2:7" ht="14.25" x14ac:dyDescent="0.2">
      <c r="B467" s="15">
        <v>1.2</v>
      </c>
      <c r="C467" s="15">
        <v>0.04</v>
      </c>
      <c r="D467" s="14">
        <v>0</v>
      </c>
      <c r="E467" s="16">
        <v>16.3</v>
      </c>
      <c r="F467" s="17">
        <f t="shared" si="7"/>
        <v>0.41556688662267538</v>
      </c>
      <c r="G467" s="13"/>
    </row>
    <row r="468" spans="2:7" ht="14.25" x14ac:dyDescent="0.2">
      <c r="B468" s="15">
        <v>1.2</v>
      </c>
      <c r="C468" s="15">
        <v>0.08</v>
      </c>
      <c r="D468" s="14">
        <v>0</v>
      </c>
      <c r="E468" s="16">
        <v>14.4</v>
      </c>
      <c r="F468" s="17">
        <f t="shared" si="7"/>
        <v>0.36712657468506288</v>
      </c>
      <c r="G468" s="13"/>
    </row>
    <row r="469" spans="2:7" ht="14.25" x14ac:dyDescent="0.2">
      <c r="B469" s="15">
        <v>1.2</v>
      </c>
      <c r="C469" s="15">
        <v>0.12</v>
      </c>
      <c r="D469" s="14">
        <v>0</v>
      </c>
      <c r="E469" s="16">
        <v>11.6</v>
      </c>
      <c r="F469" s="17">
        <f t="shared" si="7"/>
        <v>0.295740851829634</v>
      </c>
      <c r="G469" s="13"/>
    </row>
    <row r="470" spans="2:7" ht="14.25" x14ac:dyDescent="0.2">
      <c r="B470" s="15">
        <v>1.2</v>
      </c>
      <c r="C470" s="15">
        <v>0.16</v>
      </c>
      <c r="D470" s="14">
        <v>0</v>
      </c>
      <c r="E470" s="16">
        <v>8.5</v>
      </c>
      <c r="F470" s="17">
        <f t="shared" si="7"/>
        <v>0.2167066586682663</v>
      </c>
      <c r="G470" s="13"/>
    </row>
    <row r="471" spans="2:7" ht="14.25" x14ac:dyDescent="0.2">
      <c r="B471" s="15">
        <v>1.2</v>
      </c>
      <c r="C471" s="15">
        <v>0.2</v>
      </c>
      <c r="D471" s="14">
        <v>0</v>
      </c>
      <c r="E471" s="16">
        <v>5.0999999999999996</v>
      </c>
      <c r="F471" s="17">
        <f t="shared" si="7"/>
        <v>0.13002399520095978</v>
      </c>
      <c r="G471" s="13"/>
    </row>
    <row r="472" spans="2:7" ht="14.25" x14ac:dyDescent="0.2">
      <c r="B472" s="15">
        <v>1.2</v>
      </c>
      <c r="C472" s="15">
        <v>0.24</v>
      </c>
      <c r="D472" s="14">
        <v>0</v>
      </c>
      <c r="E472" s="16">
        <v>2.4</v>
      </c>
      <c r="F472" s="17">
        <f t="shared" si="7"/>
        <v>6.118776244751048E-2</v>
      </c>
      <c r="G472" s="13"/>
    </row>
    <row r="473" spans="2:7" ht="14.25" x14ac:dyDescent="0.2">
      <c r="B473" s="15">
        <v>1.2</v>
      </c>
      <c r="C473" s="15">
        <v>0.28000000000000003</v>
      </c>
      <c r="D473" s="14">
        <v>0</v>
      </c>
      <c r="E473" s="16">
        <v>1.1000000000000001</v>
      </c>
      <c r="F473" s="17">
        <f t="shared" si="7"/>
        <v>2.804439112177564E-2</v>
      </c>
      <c r="G473" s="13"/>
    </row>
    <row r="474" spans="2:7" ht="14.25" x14ac:dyDescent="0.2">
      <c r="B474" s="15">
        <v>1.2</v>
      </c>
      <c r="C474" s="15">
        <v>0.32</v>
      </c>
      <c r="D474" s="14">
        <v>0</v>
      </c>
      <c r="E474" s="16">
        <v>0.6</v>
      </c>
      <c r="F474" s="17">
        <f t="shared" si="7"/>
        <v>1.529694061187762E-2</v>
      </c>
      <c r="G474" s="13"/>
    </row>
    <row r="475" spans="2:7" ht="14.25" x14ac:dyDescent="0.2">
      <c r="B475" s="15">
        <v>1.2</v>
      </c>
      <c r="C475" s="15">
        <v>0.36</v>
      </c>
      <c r="D475" s="14">
        <v>0</v>
      </c>
      <c r="E475" s="16">
        <v>0.5</v>
      </c>
      <c r="F475" s="17">
        <f t="shared" si="7"/>
        <v>1.2747450509898017E-2</v>
      </c>
      <c r="G475" s="13"/>
    </row>
    <row r="476" spans="2:7" ht="14.25" x14ac:dyDescent="0.2">
      <c r="B476" s="15">
        <v>1.2</v>
      </c>
      <c r="C476" s="15">
        <v>0.4</v>
      </c>
      <c r="D476" s="14">
        <v>0</v>
      </c>
      <c r="E476" s="16">
        <v>0.3</v>
      </c>
      <c r="F476" s="17">
        <f t="shared" si="7"/>
        <v>7.64847030593881E-3</v>
      </c>
      <c r="G476" s="13"/>
    </row>
    <row r="477" spans="2:7" ht="14.25" x14ac:dyDescent="0.2">
      <c r="B477" s="15">
        <v>1.5</v>
      </c>
      <c r="C477" s="15">
        <v>-0.44</v>
      </c>
      <c r="D477" s="14">
        <v>0</v>
      </c>
      <c r="E477" s="16">
        <v>0.3</v>
      </c>
      <c r="F477" s="17">
        <f t="shared" si="7"/>
        <v>7.64847030593881E-3</v>
      </c>
      <c r="G477" s="13"/>
    </row>
    <row r="478" spans="2:7" ht="14.25" x14ac:dyDescent="0.2">
      <c r="B478" s="15">
        <v>1.5</v>
      </c>
      <c r="C478" s="15">
        <v>-0.4</v>
      </c>
      <c r="D478" s="14">
        <v>0</v>
      </c>
      <c r="E478" s="16">
        <v>0.4</v>
      </c>
      <c r="F478" s="17">
        <f t="shared" si="7"/>
        <v>1.0197960407918415E-2</v>
      </c>
      <c r="G478" s="13"/>
    </row>
    <row r="479" spans="2:7" ht="14.25" x14ac:dyDescent="0.2">
      <c r="B479" s="15">
        <v>1.5</v>
      </c>
      <c r="C479" s="15">
        <v>-0.36</v>
      </c>
      <c r="D479" s="14">
        <v>0</v>
      </c>
      <c r="E479" s="16">
        <v>0.5</v>
      </c>
      <c r="F479" s="17">
        <f t="shared" si="7"/>
        <v>1.2747450509898017E-2</v>
      </c>
      <c r="G479" s="13"/>
    </row>
    <row r="480" spans="2:7" ht="14.25" x14ac:dyDescent="0.2">
      <c r="B480" s="15">
        <v>1.5</v>
      </c>
      <c r="C480" s="15">
        <v>-0.32</v>
      </c>
      <c r="D480" s="14">
        <v>0</v>
      </c>
      <c r="E480" s="16">
        <v>0.8</v>
      </c>
      <c r="F480" s="17">
        <f t="shared" si="7"/>
        <v>2.039592081583683E-2</v>
      </c>
      <c r="G480" s="13"/>
    </row>
    <row r="481" spans="2:7" ht="14.25" x14ac:dyDescent="0.2">
      <c r="B481" s="15">
        <v>1.5</v>
      </c>
      <c r="C481" s="15">
        <v>-0.28000000000000003</v>
      </c>
      <c r="D481" s="14">
        <v>0</v>
      </c>
      <c r="E481" s="16">
        <v>1.3</v>
      </c>
      <c r="F481" s="17">
        <f t="shared" si="7"/>
        <v>3.3143371325734847E-2</v>
      </c>
      <c r="G481" s="13"/>
    </row>
    <row r="482" spans="2:7" ht="14.25" x14ac:dyDescent="0.2">
      <c r="B482" s="15">
        <v>1.5</v>
      </c>
      <c r="C482" s="15">
        <v>-0.24</v>
      </c>
      <c r="D482" s="14">
        <v>0</v>
      </c>
      <c r="E482" s="16">
        <v>2.8</v>
      </c>
      <c r="F482" s="17">
        <f t="shared" si="7"/>
        <v>7.1385722855428893E-2</v>
      </c>
      <c r="G482" s="13"/>
    </row>
    <row r="483" spans="2:7" ht="14.25" x14ac:dyDescent="0.2">
      <c r="B483" s="15">
        <v>1.5</v>
      </c>
      <c r="C483" s="15">
        <v>-0.2</v>
      </c>
      <c r="D483" s="14">
        <v>0</v>
      </c>
      <c r="E483" s="16">
        <v>5.0999999999999996</v>
      </c>
      <c r="F483" s="17">
        <f t="shared" si="7"/>
        <v>0.13002399520095978</v>
      </c>
      <c r="G483" s="13"/>
    </row>
    <row r="484" spans="2:7" ht="14.25" x14ac:dyDescent="0.2">
      <c r="B484" s="15">
        <v>1.5</v>
      </c>
      <c r="C484" s="15">
        <v>-0.16</v>
      </c>
      <c r="D484" s="14">
        <v>0</v>
      </c>
      <c r="E484" s="16">
        <v>8.4</v>
      </c>
      <c r="F484" s="17">
        <f t="shared" si="7"/>
        <v>0.21415716856628669</v>
      </c>
      <c r="G484" s="13"/>
    </row>
    <row r="485" spans="2:7" ht="14.25" x14ac:dyDescent="0.2">
      <c r="B485" s="15">
        <v>1.5</v>
      </c>
      <c r="C485" s="15">
        <v>-0.12</v>
      </c>
      <c r="D485" s="14">
        <v>0</v>
      </c>
      <c r="E485" s="16">
        <v>10.5</v>
      </c>
      <c r="F485" s="17">
        <f t="shared" si="7"/>
        <v>0.26769646070785835</v>
      </c>
      <c r="G485" s="13"/>
    </row>
    <row r="486" spans="2:7" ht="14.25" x14ac:dyDescent="0.2">
      <c r="B486" s="15">
        <v>1.5</v>
      </c>
      <c r="C486" s="15">
        <v>-0.08</v>
      </c>
      <c r="D486" s="14">
        <v>0</v>
      </c>
      <c r="E486" s="16">
        <v>12.4</v>
      </c>
      <c r="F486" s="17">
        <f t="shared" si="7"/>
        <v>0.31613677264547085</v>
      </c>
      <c r="G486" s="13"/>
    </row>
    <row r="487" spans="2:7" ht="14.25" x14ac:dyDescent="0.2">
      <c r="B487" s="15">
        <v>1.5</v>
      </c>
      <c r="C487" s="15">
        <v>-0.04</v>
      </c>
      <c r="D487" s="14">
        <v>0</v>
      </c>
      <c r="E487" s="16">
        <v>14</v>
      </c>
      <c r="F487" s="17">
        <f t="shared" si="7"/>
        <v>0.35692861427714451</v>
      </c>
      <c r="G487" s="13"/>
    </row>
    <row r="488" spans="2:7" ht="14.25" x14ac:dyDescent="0.2">
      <c r="B488" s="15">
        <v>1.5</v>
      </c>
      <c r="C488" s="15">
        <v>0</v>
      </c>
      <c r="D488" s="14">
        <v>0</v>
      </c>
      <c r="E488" s="16">
        <v>14.4</v>
      </c>
      <c r="F488" s="17">
        <f t="shared" si="7"/>
        <v>0.36712657468506288</v>
      </c>
      <c r="G488" s="13"/>
    </row>
    <row r="489" spans="2:7" ht="14.25" x14ac:dyDescent="0.2">
      <c r="B489" s="15">
        <v>1.5</v>
      </c>
      <c r="C489" s="15">
        <v>0.04</v>
      </c>
      <c r="D489" s="14">
        <v>0</v>
      </c>
      <c r="E489" s="16">
        <v>14</v>
      </c>
      <c r="F489" s="17">
        <f t="shared" si="7"/>
        <v>0.35692861427714451</v>
      </c>
      <c r="G489" s="13"/>
    </row>
    <row r="490" spans="2:7" ht="14.25" x14ac:dyDescent="0.2">
      <c r="B490" s="15">
        <v>1.5</v>
      </c>
      <c r="C490" s="15">
        <v>0.08</v>
      </c>
      <c r="D490" s="14">
        <v>0</v>
      </c>
      <c r="E490" s="16">
        <v>12.5</v>
      </c>
      <c r="F490" s="17">
        <f t="shared" si="7"/>
        <v>0.31868626274745043</v>
      </c>
      <c r="G490" s="13"/>
    </row>
    <row r="491" spans="2:7" ht="14.25" x14ac:dyDescent="0.2">
      <c r="B491" s="15">
        <v>1.5</v>
      </c>
      <c r="C491" s="15">
        <v>0.12</v>
      </c>
      <c r="D491" s="14">
        <v>0</v>
      </c>
      <c r="E491" s="16">
        <v>10.5</v>
      </c>
      <c r="F491" s="17">
        <f t="shared" si="7"/>
        <v>0.26769646070785835</v>
      </c>
      <c r="G491" s="13"/>
    </row>
    <row r="492" spans="2:7" ht="14.25" x14ac:dyDescent="0.2">
      <c r="B492" s="15">
        <v>1.5</v>
      </c>
      <c r="C492" s="15">
        <v>0.16</v>
      </c>
      <c r="D492" s="14">
        <v>0</v>
      </c>
      <c r="E492" s="16">
        <v>8.1999999999999993</v>
      </c>
      <c r="F492" s="17">
        <f t="shared" si="7"/>
        <v>0.20905818836232745</v>
      </c>
      <c r="G492" s="13"/>
    </row>
    <row r="493" spans="2:7" ht="14.25" x14ac:dyDescent="0.2">
      <c r="B493" s="15">
        <v>1.5</v>
      </c>
      <c r="C493" s="15">
        <v>0.2</v>
      </c>
      <c r="D493" s="14">
        <v>0</v>
      </c>
      <c r="E493" s="16">
        <v>5.3</v>
      </c>
      <c r="F493" s="17">
        <f t="shared" si="7"/>
        <v>0.13512297540491897</v>
      </c>
      <c r="G493" s="13"/>
    </row>
    <row r="494" spans="2:7" ht="14.25" x14ac:dyDescent="0.2">
      <c r="B494" s="15">
        <v>1.5</v>
      </c>
      <c r="C494" s="15">
        <v>0.24</v>
      </c>
      <c r="D494" s="14">
        <v>0</v>
      </c>
      <c r="E494" s="16">
        <v>2.8</v>
      </c>
      <c r="F494" s="17">
        <f t="shared" si="7"/>
        <v>7.1385722855428893E-2</v>
      </c>
      <c r="G494" s="13"/>
    </row>
    <row r="495" spans="2:7" ht="14.25" x14ac:dyDescent="0.2">
      <c r="B495" s="15">
        <v>1.5</v>
      </c>
      <c r="C495" s="15">
        <v>0.28000000000000003</v>
      </c>
      <c r="D495" s="14">
        <v>0</v>
      </c>
      <c r="E495" s="16">
        <v>1.5</v>
      </c>
      <c r="F495" s="17">
        <f t="shared" si="7"/>
        <v>3.8242351529694053E-2</v>
      </c>
      <c r="G495" s="13"/>
    </row>
    <row r="496" spans="2:7" ht="14.25" x14ac:dyDescent="0.2">
      <c r="B496" s="15">
        <v>1.5</v>
      </c>
      <c r="C496" s="15">
        <v>0.32</v>
      </c>
      <c r="D496" s="14">
        <v>0</v>
      </c>
      <c r="E496" s="16">
        <v>0.8</v>
      </c>
      <c r="F496" s="17">
        <f t="shared" si="7"/>
        <v>2.039592081583683E-2</v>
      </c>
      <c r="G496" s="13"/>
    </row>
    <row r="497" spans="2:7" ht="14.25" x14ac:dyDescent="0.2">
      <c r="B497" s="15">
        <v>1.5</v>
      </c>
      <c r="C497" s="15">
        <v>0.36</v>
      </c>
      <c r="D497" s="14">
        <v>0</v>
      </c>
      <c r="E497" s="16">
        <v>0.6</v>
      </c>
      <c r="F497" s="17">
        <f t="shared" si="7"/>
        <v>1.529694061187762E-2</v>
      </c>
      <c r="G497" s="13"/>
    </row>
    <row r="498" spans="2:7" ht="14.25" x14ac:dyDescent="0.2">
      <c r="B498" s="15">
        <v>1.5</v>
      </c>
      <c r="C498" s="15">
        <v>0.4</v>
      </c>
      <c r="D498" s="14">
        <v>0</v>
      </c>
      <c r="E498" s="16">
        <v>0.3</v>
      </c>
      <c r="F498" s="17">
        <f t="shared" si="7"/>
        <v>7.64847030593881E-3</v>
      </c>
      <c r="G498" s="13"/>
    </row>
    <row r="499" spans="2:7" ht="14.25" x14ac:dyDescent="0.2">
      <c r="B499" s="15">
        <v>2.1</v>
      </c>
      <c r="C499" s="15">
        <v>-0.44</v>
      </c>
      <c r="D499" s="14">
        <v>0</v>
      </c>
      <c r="E499" s="16">
        <v>0.2</v>
      </c>
      <c r="F499" s="17">
        <f t="shared" si="7"/>
        <v>5.0989802039592075E-3</v>
      </c>
      <c r="G499" s="13"/>
    </row>
    <row r="500" spans="2:7" ht="14.25" x14ac:dyDescent="0.2">
      <c r="B500" s="15">
        <v>2.1</v>
      </c>
      <c r="C500" s="15">
        <v>-0.4</v>
      </c>
      <c r="D500" s="14">
        <v>0</v>
      </c>
      <c r="E500" s="16">
        <v>0.4</v>
      </c>
      <c r="F500" s="17">
        <f t="shared" si="7"/>
        <v>1.0197960407918415E-2</v>
      </c>
      <c r="G500" s="13"/>
    </row>
    <row r="501" spans="2:7" ht="14.25" x14ac:dyDescent="0.2">
      <c r="B501" s="15">
        <v>2.1</v>
      </c>
      <c r="C501" s="15">
        <v>-0.36</v>
      </c>
      <c r="D501" s="14">
        <v>0</v>
      </c>
      <c r="E501" s="16">
        <v>0.6</v>
      </c>
      <c r="F501" s="17">
        <f t="shared" si="7"/>
        <v>1.529694061187762E-2</v>
      </c>
      <c r="G501" s="13"/>
    </row>
    <row r="502" spans="2:7" ht="14.25" x14ac:dyDescent="0.2">
      <c r="B502" s="15">
        <v>2.1</v>
      </c>
      <c r="C502" s="15">
        <v>-0.32</v>
      </c>
      <c r="D502" s="14">
        <v>0</v>
      </c>
      <c r="E502" s="16">
        <v>1.1000000000000001</v>
      </c>
      <c r="F502" s="17">
        <f t="shared" si="7"/>
        <v>2.804439112177564E-2</v>
      </c>
      <c r="G502" s="13"/>
    </row>
    <row r="503" spans="2:7" ht="14.25" x14ac:dyDescent="0.2">
      <c r="B503" s="15">
        <v>2.1</v>
      </c>
      <c r="C503" s="15">
        <v>-0.28000000000000003</v>
      </c>
      <c r="D503" s="14">
        <v>0</v>
      </c>
      <c r="E503" s="16">
        <v>2</v>
      </c>
      <c r="F503" s="17">
        <f t="shared" si="7"/>
        <v>5.0989802039592066E-2</v>
      </c>
      <c r="G503" s="13"/>
    </row>
    <row r="504" spans="2:7" ht="14.25" x14ac:dyDescent="0.2">
      <c r="B504" s="15">
        <v>2.1</v>
      </c>
      <c r="C504" s="15">
        <v>-0.24</v>
      </c>
      <c r="D504" s="14">
        <v>0</v>
      </c>
      <c r="E504" s="16">
        <v>3.6</v>
      </c>
      <c r="F504" s="17">
        <f t="shared" si="7"/>
        <v>9.178164367126572E-2</v>
      </c>
      <c r="G504" s="13"/>
    </row>
    <row r="505" spans="2:7" ht="14.25" x14ac:dyDescent="0.2">
      <c r="B505" s="15">
        <v>2.1</v>
      </c>
      <c r="C505" s="15">
        <v>-0.2</v>
      </c>
      <c r="D505" s="14">
        <v>0</v>
      </c>
      <c r="E505" s="16">
        <v>5.2</v>
      </c>
      <c r="F505" s="17">
        <f t="shared" si="7"/>
        <v>0.13257348530293939</v>
      </c>
      <c r="G505" s="13"/>
    </row>
    <row r="506" spans="2:7" ht="14.25" x14ac:dyDescent="0.2">
      <c r="B506" s="15">
        <v>2.1</v>
      </c>
      <c r="C506" s="15">
        <v>-0.16</v>
      </c>
      <c r="D506" s="14">
        <v>0</v>
      </c>
      <c r="E506" s="16">
        <v>7.5</v>
      </c>
      <c r="F506" s="17">
        <f t="shared" si="7"/>
        <v>0.19121175764847026</v>
      </c>
      <c r="G506" s="13"/>
    </row>
    <row r="507" spans="2:7" ht="14.25" x14ac:dyDescent="0.2">
      <c r="B507" s="15">
        <v>2.1</v>
      </c>
      <c r="C507" s="15">
        <v>-0.12</v>
      </c>
      <c r="D507" s="14">
        <v>0</v>
      </c>
      <c r="E507" s="16">
        <v>8.6999999999999993</v>
      </c>
      <c r="F507" s="17">
        <f t="shared" si="7"/>
        <v>0.22180563887222549</v>
      </c>
      <c r="G507" s="13"/>
    </row>
    <row r="508" spans="2:7" ht="14.25" x14ac:dyDescent="0.2">
      <c r="B508" s="15">
        <v>2.1</v>
      </c>
      <c r="C508" s="15">
        <v>-0.08</v>
      </c>
      <c r="D508" s="14">
        <v>0</v>
      </c>
      <c r="E508" s="16">
        <v>10</v>
      </c>
      <c r="F508" s="17">
        <f t="shared" si="7"/>
        <v>0.25494901019796035</v>
      </c>
      <c r="G508" s="13"/>
    </row>
    <row r="509" spans="2:7" ht="14.25" x14ac:dyDescent="0.2">
      <c r="B509" s="15">
        <v>2.1</v>
      </c>
      <c r="C509" s="15">
        <v>-0.04</v>
      </c>
      <c r="D509" s="14">
        <v>0</v>
      </c>
      <c r="E509" s="16">
        <v>10.9</v>
      </c>
      <c r="F509" s="17">
        <f t="shared" si="7"/>
        <v>0.27789442111577678</v>
      </c>
      <c r="G509" s="13"/>
    </row>
    <row r="510" spans="2:7" ht="14.25" x14ac:dyDescent="0.2">
      <c r="B510" s="15">
        <v>2.1</v>
      </c>
      <c r="C510" s="15">
        <v>0</v>
      </c>
      <c r="D510" s="14">
        <v>0</v>
      </c>
      <c r="E510" s="16">
        <v>11</v>
      </c>
      <c r="F510" s="17">
        <f t="shared" si="7"/>
        <v>0.28044391121775636</v>
      </c>
      <c r="G510" s="13"/>
    </row>
    <row r="511" spans="2:7" ht="14.25" x14ac:dyDescent="0.2">
      <c r="B511" s="15">
        <v>2.1</v>
      </c>
      <c r="C511" s="15">
        <v>0.04</v>
      </c>
      <c r="D511" s="14">
        <v>0</v>
      </c>
      <c r="E511" s="16">
        <v>10.8</v>
      </c>
      <c r="F511" s="17">
        <f t="shared" si="7"/>
        <v>0.2753449310137972</v>
      </c>
      <c r="G511" s="13"/>
    </row>
    <row r="512" spans="2:7" ht="14.25" x14ac:dyDescent="0.2">
      <c r="B512" s="15">
        <v>2.1</v>
      </c>
      <c r="C512" s="15">
        <v>0.08</v>
      </c>
      <c r="D512" s="14">
        <v>0</v>
      </c>
      <c r="E512" s="16">
        <v>10</v>
      </c>
      <c r="F512" s="17">
        <f t="shared" si="7"/>
        <v>0.25494901019796035</v>
      </c>
      <c r="G512" s="13"/>
    </row>
    <row r="513" spans="2:7" ht="14.25" x14ac:dyDescent="0.2">
      <c r="B513" s="15">
        <v>2.1</v>
      </c>
      <c r="C513" s="15">
        <v>0.12</v>
      </c>
      <c r="D513" s="14">
        <v>0</v>
      </c>
      <c r="E513" s="16">
        <v>8.6999999999999993</v>
      </c>
      <c r="F513" s="17">
        <f t="shared" si="7"/>
        <v>0.22180563887222549</v>
      </c>
      <c r="G513" s="13"/>
    </row>
    <row r="514" spans="2:7" ht="14.25" x14ac:dyDescent="0.2">
      <c r="B514" s="15">
        <v>2.1</v>
      </c>
      <c r="C514" s="15">
        <v>0.16</v>
      </c>
      <c r="D514" s="14">
        <v>0</v>
      </c>
      <c r="E514" s="16">
        <v>7.1</v>
      </c>
      <c r="F514" s="17">
        <f t="shared" ref="F514:F542" si="8">E514/$F$1</f>
        <v>0.18101379724055183</v>
      </c>
      <c r="G514" s="13"/>
    </row>
    <row r="515" spans="2:7" ht="14.25" x14ac:dyDescent="0.2">
      <c r="B515" s="15">
        <v>2.1</v>
      </c>
      <c r="C515" s="15">
        <v>0.2</v>
      </c>
      <c r="D515" s="14">
        <v>0</v>
      </c>
      <c r="E515" s="16">
        <v>5.5</v>
      </c>
      <c r="F515" s="17">
        <f t="shared" si="8"/>
        <v>0.14022195560887818</v>
      </c>
      <c r="G515" s="13"/>
    </row>
    <row r="516" spans="2:7" ht="14.25" x14ac:dyDescent="0.2">
      <c r="B516" s="15">
        <v>2.1</v>
      </c>
      <c r="C516" s="15">
        <v>0.24</v>
      </c>
      <c r="D516" s="14">
        <v>0</v>
      </c>
      <c r="E516" s="16">
        <v>3.4</v>
      </c>
      <c r="F516" s="17">
        <f t="shared" si="8"/>
        <v>8.668266346730652E-2</v>
      </c>
      <c r="G516" s="13"/>
    </row>
    <row r="517" spans="2:7" ht="14.25" x14ac:dyDescent="0.2">
      <c r="B517" s="15">
        <v>2.1</v>
      </c>
      <c r="C517" s="15">
        <v>0.28000000000000003</v>
      </c>
      <c r="D517" s="14">
        <v>0</v>
      </c>
      <c r="E517" s="16">
        <v>2</v>
      </c>
      <c r="F517" s="17">
        <f t="shared" si="8"/>
        <v>5.0989802039592066E-2</v>
      </c>
      <c r="G517" s="13"/>
    </row>
    <row r="518" spans="2:7" ht="14.25" x14ac:dyDescent="0.2">
      <c r="B518" s="15">
        <v>2.1</v>
      </c>
      <c r="C518" s="15">
        <v>0.32</v>
      </c>
      <c r="D518" s="14">
        <v>0</v>
      </c>
      <c r="E518" s="16">
        <v>1</v>
      </c>
      <c r="F518" s="17">
        <f t="shared" si="8"/>
        <v>2.5494901019796033E-2</v>
      </c>
      <c r="G518" s="13"/>
    </row>
    <row r="519" spans="2:7" ht="14.25" x14ac:dyDescent="0.2">
      <c r="B519" s="15">
        <v>2.1</v>
      </c>
      <c r="C519" s="15">
        <v>0.36</v>
      </c>
      <c r="D519" s="14">
        <v>0</v>
      </c>
      <c r="E519" s="16">
        <v>0.7</v>
      </c>
      <c r="F519" s="17">
        <f t="shared" si="8"/>
        <v>1.7846430713857223E-2</v>
      </c>
      <c r="G519" s="13"/>
    </row>
    <row r="520" spans="2:7" ht="14.25" x14ac:dyDescent="0.2">
      <c r="B520" s="15">
        <v>2.1</v>
      </c>
      <c r="C520" s="15">
        <v>0.4</v>
      </c>
      <c r="D520" s="14">
        <v>0</v>
      </c>
      <c r="E520" s="16">
        <v>0.4</v>
      </c>
      <c r="F520" s="17">
        <f t="shared" si="8"/>
        <v>1.0197960407918415E-2</v>
      </c>
      <c r="G520" s="13"/>
    </row>
    <row r="521" spans="2:7" ht="14.25" x14ac:dyDescent="0.2">
      <c r="B521" s="15">
        <v>2.7</v>
      </c>
      <c r="C521" s="15">
        <v>-0.44</v>
      </c>
      <c r="D521" s="14">
        <v>0</v>
      </c>
      <c r="E521" s="16">
        <v>0.3</v>
      </c>
      <c r="F521" s="17">
        <f t="shared" si="8"/>
        <v>7.64847030593881E-3</v>
      </c>
      <c r="G521" s="13"/>
    </row>
    <row r="522" spans="2:7" ht="14.25" x14ac:dyDescent="0.2">
      <c r="B522" s="15">
        <v>2.7</v>
      </c>
      <c r="C522" s="15">
        <v>-0.4</v>
      </c>
      <c r="D522" s="14">
        <v>0</v>
      </c>
      <c r="E522" s="16">
        <v>0.6</v>
      </c>
      <c r="F522" s="17">
        <f t="shared" si="8"/>
        <v>1.529694061187762E-2</v>
      </c>
      <c r="G522" s="13"/>
    </row>
    <row r="523" spans="2:7" ht="14.25" x14ac:dyDescent="0.2">
      <c r="B523" s="15">
        <v>2.7</v>
      </c>
      <c r="C523" s="15">
        <v>-0.36</v>
      </c>
      <c r="D523" s="14">
        <v>0</v>
      </c>
      <c r="E523" s="16">
        <v>0.9</v>
      </c>
      <c r="F523" s="17">
        <f t="shared" si="8"/>
        <v>2.294541091781643E-2</v>
      </c>
      <c r="G523" s="13"/>
    </row>
    <row r="524" spans="2:7" ht="14.25" x14ac:dyDescent="0.2">
      <c r="B524" s="15">
        <v>2.7</v>
      </c>
      <c r="C524" s="15">
        <v>-0.32</v>
      </c>
      <c r="D524" s="14">
        <v>0</v>
      </c>
      <c r="E524" s="16">
        <v>1.6</v>
      </c>
      <c r="F524" s="17">
        <f t="shared" si="8"/>
        <v>4.079184163167366E-2</v>
      </c>
      <c r="G524" s="13"/>
    </row>
    <row r="525" spans="2:7" ht="14.25" x14ac:dyDescent="0.2">
      <c r="B525" s="15">
        <v>2.7</v>
      </c>
      <c r="C525" s="15">
        <v>-0.28000000000000003</v>
      </c>
      <c r="D525" s="14">
        <v>0</v>
      </c>
      <c r="E525" s="16">
        <v>2.4</v>
      </c>
      <c r="F525" s="17">
        <f t="shared" si="8"/>
        <v>6.118776244751048E-2</v>
      </c>
      <c r="G525" s="13"/>
    </row>
    <row r="526" spans="2:7" ht="14.25" x14ac:dyDescent="0.2">
      <c r="B526" s="15">
        <v>2.7</v>
      </c>
      <c r="C526" s="15">
        <v>-0.24</v>
      </c>
      <c r="D526" s="14">
        <v>0</v>
      </c>
      <c r="E526" s="16">
        <v>3.7</v>
      </c>
      <c r="F526" s="17">
        <f t="shared" si="8"/>
        <v>9.4331133773245326E-2</v>
      </c>
      <c r="G526" s="13"/>
    </row>
    <row r="527" spans="2:7" ht="14.25" x14ac:dyDescent="0.2">
      <c r="B527" s="15">
        <v>2.7</v>
      </c>
      <c r="C527" s="15">
        <v>-0.2</v>
      </c>
      <c r="D527" s="14">
        <v>0</v>
      </c>
      <c r="E527" s="16">
        <v>4.7</v>
      </c>
      <c r="F527" s="17">
        <f t="shared" si="8"/>
        <v>0.11982603479304137</v>
      </c>
      <c r="G527" s="13"/>
    </row>
    <row r="528" spans="2:7" ht="14.25" x14ac:dyDescent="0.2">
      <c r="B528" s="15">
        <v>2.7</v>
      </c>
      <c r="C528" s="15">
        <v>-0.16</v>
      </c>
      <c r="D528" s="14">
        <v>0</v>
      </c>
      <c r="E528" s="16">
        <v>6.4</v>
      </c>
      <c r="F528" s="17">
        <f t="shared" si="8"/>
        <v>0.16316736652669464</v>
      </c>
      <c r="G528" s="13"/>
    </row>
    <row r="529" spans="2:7" ht="14.25" x14ac:dyDescent="0.2">
      <c r="B529" s="15">
        <v>2.7</v>
      </c>
      <c r="C529" s="15">
        <v>-0.12</v>
      </c>
      <c r="D529" s="14">
        <v>0</v>
      </c>
      <c r="E529" s="16">
        <v>7.5</v>
      </c>
      <c r="F529" s="17">
        <f t="shared" si="8"/>
        <v>0.19121175764847026</v>
      </c>
      <c r="G529" s="13"/>
    </row>
    <row r="530" spans="2:7" ht="14.25" x14ac:dyDescent="0.2">
      <c r="B530" s="15">
        <v>2.7</v>
      </c>
      <c r="C530" s="15">
        <v>-0.08</v>
      </c>
      <c r="D530" s="14">
        <v>0</v>
      </c>
      <c r="E530" s="16">
        <v>8.1</v>
      </c>
      <c r="F530" s="17">
        <f t="shared" si="8"/>
        <v>0.20650869826034787</v>
      </c>
      <c r="G530" s="13"/>
    </row>
    <row r="531" spans="2:7" ht="14.25" x14ac:dyDescent="0.2">
      <c r="B531" s="15">
        <v>2.7</v>
      </c>
      <c r="C531" s="15">
        <v>-0.04</v>
      </c>
      <c r="D531" s="14">
        <v>0</v>
      </c>
      <c r="E531" s="16">
        <v>8.9</v>
      </c>
      <c r="F531" s="17">
        <f t="shared" si="8"/>
        <v>0.22690461907618473</v>
      </c>
      <c r="G531" s="13"/>
    </row>
    <row r="532" spans="2:7" ht="14.25" x14ac:dyDescent="0.2">
      <c r="B532" s="15">
        <v>2.7</v>
      </c>
      <c r="C532" s="15">
        <v>0</v>
      </c>
      <c r="D532" s="14">
        <v>0</v>
      </c>
      <c r="E532" s="16">
        <v>8.9</v>
      </c>
      <c r="F532" s="17">
        <f t="shared" si="8"/>
        <v>0.22690461907618473</v>
      </c>
      <c r="G532" s="13"/>
    </row>
    <row r="533" spans="2:7" ht="14.25" x14ac:dyDescent="0.2">
      <c r="B533" s="15">
        <v>2.7</v>
      </c>
      <c r="C533" s="15">
        <v>0.04</v>
      </c>
      <c r="D533" s="14">
        <v>0</v>
      </c>
      <c r="E533" s="16">
        <v>8.9</v>
      </c>
      <c r="F533" s="17">
        <f t="shared" si="8"/>
        <v>0.22690461907618473</v>
      </c>
      <c r="G533" s="13"/>
    </row>
    <row r="534" spans="2:7" ht="14.25" x14ac:dyDescent="0.2">
      <c r="B534" s="15">
        <v>2.7</v>
      </c>
      <c r="C534" s="15">
        <v>0.08</v>
      </c>
      <c r="D534" s="14">
        <v>0</v>
      </c>
      <c r="E534" s="16">
        <v>8.3000000000000007</v>
      </c>
      <c r="F534" s="17">
        <f t="shared" si="8"/>
        <v>0.21160767846430711</v>
      </c>
      <c r="G534" s="13"/>
    </row>
    <row r="535" spans="2:7" ht="14.25" x14ac:dyDescent="0.2">
      <c r="B535" s="15">
        <v>2.7</v>
      </c>
      <c r="C535" s="15">
        <v>0.12</v>
      </c>
      <c r="D535" s="14">
        <v>0</v>
      </c>
      <c r="E535" s="16">
        <v>7.5</v>
      </c>
      <c r="F535" s="17">
        <f t="shared" si="8"/>
        <v>0.19121175764847026</v>
      </c>
      <c r="G535" s="13"/>
    </row>
    <row r="536" spans="2:7" ht="14.25" x14ac:dyDescent="0.2">
      <c r="B536" s="15">
        <v>2.7</v>
      </c>
      <c r="C536" s="15">
        <v>0.16</v>
      </c>
      <c r="D536" s="14">
        <v>0</v>
      </c>
      <c r="E536" s="16">
        <v>6.4</v>
      </c>
      <c r="F536" s="17">
        <f t="shared" si="8"/>
        <v>0.16316736652669464</v>
      </c>
      <c r="G536" s="13"/>
    </row>
    <row r="537" spans="2:7" ht="14.25" x14ac:dyDescent="0.2">
      <c r="B537" s="15">
        <v>2.7</v>
      </c>
      <c r="C537" s="15">
        <v>0.2</v>
      </c>
      <c r="D537" s="14">
        <v>0</v>
      </c>
      <c r="E537" s="16">
        <v>5.0999999999999996</v>
      </c>
      <c r="F537" s="17">
        <f t="shared" si="8"/>
        <v>0.13002399520095978</v>
      </c>
      <c r="G537" s="13"/>
    </row>
    <row r="538" spans="2:7" ht="14.25" x14ac:dyDescent="0.2">
      <c r="B538" s="15">
        <v>2.7</v>
      </c>
      <c r="C538" s="15">
        <v>0.24</v>
      </c>
      <c r="D538" s="14">
        <v>0</v>
      </c>
      <c r="E538" s="16">
        <v>3.4</v>
      </c>
      <c r="F538" s="17">
        <f t="shared" si="8"/>
        <v>8.668266346730652E-2</v>
      </c>
      <c r="G538" s="13"/>
    </row>
    <row r="539" spans="2:7" ht="14.25" x14ac:dyDescent="0.2">
      <c r="B539" s="15">
        <v>2.7</v>
      </c>
      <c r="C539" s="15">
        <v>0.28000000000000003</v>
      </c>
      <c r="D539" s="14">
        <v>0</v>
      </c>
      <c r="E539" s="16">
        <v>2.4</v>
      </c>
      <c r="F539" s="17">
        <f t="shared" si="8"/>
        <v>6.118776244751048E-2</v>
      </c>
      <c r="G539" s="13"/>
    </row>
    <row r="540" spans="2:7" ht="14.25" x14ac:dyDescent="0.2">
      <c r="B540" s="15">
        <v>2.7</v>
      </c>
      <c r="C540" s="15">
        <v>0.32</v>
      </c>
      <c r="D540" s="14">
        <v>0</v>
      </c>
      <c r="E540" s="16">
        <v>1.3</v>
      </c>
      <c r="F540" s="17">
        <f t="shared" si="8"/>
        <v>3.3143371325734847E-2</v>
      </c>
      <c r="G540" s="13"/>
    </row>
    <row r="541" spans="2:7" ht="14.25" x14ac:dyDescent="0.2">
      <c r="B541" s="15">
        <v>2.7</v>
      </c>
      <c r="C541" s="15">
        <v>0.36</v>
      </c>
      <c r="D541" s="14">
        <v>0</v>
      </c>
      <c r="E541" s="16">
        <v>0.8</v>
      </c>
      <c r="F541" s="17">
        <f t="shared" si="8"/>
        <v>2.039592081583683E-2</v>
      </c>
      <c r="G541" s="13"/>
    </row>
    <row r="542" spans="2:7" ht="14.25" x14ac:dyDescent="0.2">
      <c r="B542" s="15">
        <v>2.7</v>
      </c>
      <c r="C542" s="15">
        <v>0.4</v>
      </c>
      <c r="D542" s="14">
        <v>0</v>
      </c>
      <c r="E542" s="16">
        <v>0.4</v>
      </c>
      <c r="F542" s="17">
        <f t="shared" si="8"/>
        <v>1.0197960407918415E-2</v>
      </c>
      <c r="G542" s="1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Inflow boundary layer</vt:lpstr>
      <vt:lpstr>Velocity measurement</vt:lpstr>
      <vt:lpstr>Concentration_measurement</vt:lpstr>
    </vt:vector>
  </TitlesOfParts>
  <Company>新潟工科大学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ytomi</cp:lastModifiedBy>
  <cp:lastPrinted>2013-07-12T03:38:45Z</cp:lastPrinted>
  <dcterms:created xsi:type="dcterms:W3CDTF">2002-04-12T07:37:24Z</dcterms:created>
  <dcterms:modified xsi:type="dcterms:W3CDTF">2020-01-26T05:39:03Z</dcterms:modified>
</cp:coreProperties>
</file>